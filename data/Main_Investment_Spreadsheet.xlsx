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chlist" sheetId="1" r:id="rId5"/>
    <sheet state="visible" name="Monthly DCA" sheetId="2" r:id="rId6"/>
    <sheet state="visible" name="Actions" sheetId="3" r:id="rId7"/>
    <sheet state="visible" name="€25k Plan" sheetId="4" r:id="rId8"/>
    <sheet state="visible" name="Rules" sheetId="5" r:id="rId9"/>
    <sheet state="visible" name="Targets" sheetId="6" r:id="rId10"/>
  </sheets>
  <definedNames/>
  <calcPr/>
</workbook>
</file>

<file path=xl/sharedStrings.xml><?xml version="1.0" encoding="utf-8"?>
<sst xmlns="http://schemas.openxmlformats.org/spreadsheetml/2006/main" count="539" uniqueCount="265">
  <si>
    <t>STOCK WATCHLIST</t>
  </si>
  <si>
    <t>Ticker</t>
  </si>
  <si>
    <t>Tier</t>
  </si>
  <si>
    <t>Live Price</t>
  </si>
  <si>
    <t>Target Entry</t>
  </si>
  <si>
    <t>Distance</t>
  </si>
  <si>
    <t>Signal</t>
  </si>
  <si>
    <t>52W High</t>
  </si>
  <si>
    <t>% from High</t>
  </si>
  <si>
    <t>Knife Alert</t>
  </si>
  <si>
    <t>Status</t>
  </si>
  <si>
    <t>Notes</t>
  </si>
  <si>
    <t>update</t>
  </si>
  <si>
    <t>GOOGL</t>
  </si>
  <si>
    <t>CORE</t>
  </si>
  <si>
    <t>Cheapest mega-cap, highest conviction</t>
  </si>
  <si>
    <t>buy price reviewed - 295 (great)</t>
  </si>
  <si>
    <t>MSFT</t>
  </si>
  <si>
    <t>ADD</t>
  </si>
  <si>
    <t>Severely underweight, quality compounder</t>
  </si>
  <si>
    <t>AMZN</t>
  </si>
  <si>
    <t>AWS + ads, quality</t>
  </si>
  <si>
    <t>buy price reviewed</t>
  </si>
  <si>
    <t>AAPL</t>
  </si>
  <si>
    <t>Underweight, cash machine</t>
  </si>
  <si>
    <t>META</t>
  </si>
  <si>
    <t>AI working, cheap valuation</t>
  </si>
  <si>
    <t>NVDA</t>
  </si>
  <si>
    <t>AI leader</t>
  </si>
  <si>
    <t>AVGO</t>
  </si>
  <si>
    <t>Best AI semi value - underweight</t>
  </si>
  <si>
    <t>MA</t>
  </si>
  <si>
    <t>Duopoly</t>
  </si>
  <si>
    <t>CRWD</t>
  </si>
  <si>
    <t>Cybersecurity leader</t>
  </si>
  <si>
    <t>Buy price reviewed</t>
  </si>
  <si>
    <t>MELI</t>
  </si>
  <si>
    <t>LatAm winner</t>
  </si>
  <si>
    <t>NET</t>
  </si>
  <si>
    <t>HOLD</t>
  </si>
  <si>
    <t>Above target allocation</t>
  </si>
  <si>
    <t>VRT</t>
  </si>
  <si>
    <t>Data center power play</t>
  </si>
  <si>
    <t>AMD</t>
  </si>
  <si>
    <t>AI challenger, underweight</t>
  </si>
  <si>
    <t>NU</t>
  </si>
  <si>
    <t>LatAm fintech, 2x potential</t>
  </si>
  <si>
    <t>NVO</t>
  </si>
  <si>
    <t>GLP-1 leader</t>
  </si>
  <si>
    <t>AXON</t>
  </si>
  <si>
    <t>ADD ⭐</t>
  </si>
  <si>
    <t>NEW - Defense tech, quality compounder</t>
  </si>
  <si>
    <t>UBER</t>
  </si>
  <si>
    <t>Caution - dead money risk</t>
  </si>
  <si>
    <t>SHOP</t>
  </si>
  <si>
    <t>SMB ecommerce</t>
  </si>
  <si>
    <t>NOW</t>
  </si>
  <si>
    <t>PAUSE ⚠️</t>
  </si>
  <si>
    <t>Falling knife - wait for stabilization</t>
  </si>
  <si>
    <t>PLTR</t>
  </si>
  <si>
    <t>AI/Gov, expensive</t>
  </si>
  <si>
    <t>COIN</t>
  </si>
  <si>
    <t>Crypto proxy</t>
  </si>
  <si>
    <t>RKLB</t>
  </si>
  <si>
    <t>Space moonshot</t>
  </si>
  <si>
    <t>CRWV</t>
  </si>
  <si>
    <t>AI infra bet - 1.5% max</t>
  </si>
  <si>
    <t>NBIS</t>
  </si>
  <si>
    <t>TSLA</t>
  </si>
  <si>
    <t>TRIM</t>
  </si>
  <si>
    <t>Overweight for fundamentals</t>
  </si>
  <si>
    <t>SOFI</t>
  </si>
  <si>
    <t>Overweight, weak thesis</t>
  </si>
  <si>
    <t>SE</t>
  </si>
  <si>
    <t>SEA turnaround</t>
  </si>
  <si>
    <t>DDOG</t>
  </si>
  <si>
    <t>Small position, let ride</t>
  </si>
  <si>
    <t>SNOW</t>
  </si>
  <si>
    <t>-</t>
  </si>
  <si>
    <t>SELL ❌</t>
  </si>
  <si>
    <t>Thesis broken - exit</t>
  </si>
  <si>
    <t>TWLO</t>
  </si>
  <si>
    <t>Tiny position - clean up</t>
  </si>
  <si>
    <t>IREN</t>
  </si>
  <si>
    <t>AVOID</t>
  </si>
  <si>
    <t>Too speculative</t>
  </si>
  <si>
    <t>MU</t>
  </si>
  <si>
    <t>Don't chase - missed the move</t>
  </si>
  <si>
    <t>Chased, got burnt. Sell when in need of cash</t>
  </si>
  <si>
    <t>cost</t>
  </si>
  <si>
    <t>coke</t>
  </si>
  <si>
    <t>v</t>
  </si>
  <si>
    <t>wm</t>
  </si>
  <si>
    <t>MONTHLY DCA ALLOCATOR</t>
  </si>
  <si>
    <t>→ Enter SHARES OWNED (Col C). Everything else auto-calculates. Works even with partial data.</t>
  </si>
  <si>
    <t>Shares</t>
  </si>
  <si>
    <t>Current $</t>
  </si>
  <si>
    <t>Current %</t>
  </si>
  <si>
    <t>Target %</t>
  </si>
  <si>
    <t>Gap</t>
  </si>
  <si>
    <t>Below Target?</t>
  </si>
  <si>
    <t>Falling Knife?</t>
  </si>
  <si>
    <t>Thesis OK?</t>
  </si>
  <si>
    <t>DCA Priority</t>
  </si>
  <si>
    <t>Action</t>
  </si>
  <si>
    <t>NO</t>
  </si>
  <si>
    <t>YES</t>
  </si>
  <si>
    <t>V</t>
  </si>
  <si>
    <t>UNCERTAIN</t>
  </si>
  <si>
    <t>WEAK</t>
  </si>
  <si>
    <t>TOTAL</t>
  </si>
  <si>
    <t>Status:</t>
  </si>
  <si>
    <t>MONTHLY €5K ALLOCATION GUIDE:</t>
  </si>
  <si>
    <t>⬆️ HIGH (Tier 1):</t>
  </si>
  <si>
    <t>€3,000 (60%)</t>
  </si>
  <si>
    <t>➡️ MEDIUM (Tier 2):</t>
  </si>
  <si>
    <t>€1,500 (30%)</t>
  </si>
  <si>
    <t>⬇️ LOW (Tier 3):</t>
  </si>
  <si>
    <t>€500 (10%)</t>
  </si>
  <si>
    <t>⛔ SKIP/FULL:</t>
  </si>
  <si>
    <t>€0</t>
  </si>
  <si>
    <t>IMMEDIATE ACTIONS</t>
  </si>
  <si>
    <t>🔴 SELL</t>
  </si>
  <si>
    <t>Reason</t>
  </si>
  <si>
    <t>Redeploy To</t>
  </si>
  <si>
    <t>Priority</t>
  </si>
  <si>
    <t>SELL ALL</t>
  </si>
  <si>
    <t>Thesis broken, growth slowing</t>
  </si>
  <si>
    <t>MSFT or AVGO</t>
  </si>
  <si>
    <t>HIGH</t>
  </si>
  <si>
    <t>Tiny position, not worth tracking</t>
  </si>
  <si>
    <t>Any Tier 1</t>
  </si>
  <si>
    <t>MEDIUM</t>
  </si>
  <si>
    <t>🟡 TRIM</t>
  </si>
  <si>
    <t>TRIM to 1%</t>
  </si>
  <si>
    <t>MSFT or V</t>
  </si>
  <si>
    <t>TRIM to 2%</t>
  </si>
  <si>
    <t>GOOGL or AVGO</t>
  </si>
  <si>
    <t>LOW</t>
  </si>
  <si>
    <t>🟢 ADD (Priority Order)</t>
  </si>
  <si>
    <t>Entry Price</t>
  </si>
  <si>
    <t>Why</t>
  </si>
  <si>
    <t>~1.2%</t>
  </si>
  <si>
    <t>5%</t>
  </si>
  <si>
    <t>$400</t>
  </si>
  <si>
    <t>Severely underweight, highest quality</t>
  </si>
  <si>
    <t>~1.8%</t>
  </si>
  <si>
    <t>$280</t>
  </si>
  <si>
    <t>Best AI semi value play</t>
  </si>
  <si>
    <t>~7.7%</t>
  </si>
  <si>
    <t>9%</t>
  </si>
  <si>
    <t>$285</t>
  </si>
  <si>
    <t>Highest conviction, cheap mega-cap</t>
  </si>
  <si>
    <t>~1.4%</t>
  </si>
  <si>
    <t>3%</t>
  </si>
  <si>
    <t>Duopoly, underweight</t>
  </si>
  <si>
    <t>~0.9%</t>
  </si>
  <si>
    <t>$230</t>
  </si>
  <si>
    <t>Cash machine, underweight</t>
  </si>
  <si>
    <t>$14</t>
  </si>
  <si>
    <t>Doubler potential, LatAm</t>
  </si>
  <si>
    <t>$200</t>
  </si>
  <si>
    <t>AI challenger</t>
  </si>
  <si>
    <t>NEW</t>
  </si>
  <si>
    <t>2%</t>
  </si>
  <si>
    <t>$550</t>
  </si>
  <si>
    <t>Defense tech, quality compounder</t>
  </si>
  <si>
    <t>⏸️ PAUSE (Falling Knife - Wait)</t>
  </si>
  <si>
    <t>Issue</t>
  </si>
  <si>
    <t>Resume When</t>
  </si>
  <si>
    <t>Down 35%</t>
  </si>
  <si>
    <t>AI disruption fear, multiple compression</t>
  </si>
  <si>
    <t>Stabilizes for 4+ weeks</t>
  </si>
  <si>
    <t>€25K DRY POWDER DEPLOYMENT</t>
  </si>
  <si>
    <t>RULE: Wait for 15-20% S&amp;P 500 correction. If none in 5 months (June 2026), deploy €10k.</t>
  </si>
  <si>
    <t>S&amp;P 500 ATH: ~6,100 | 15% correction = ~5,185 | 20% correction = ~4,880</t>
  </si>
  <si>
    <t>SCENARIO A: 15-20% CORRECTION HITS</t>
  </si>
  <si>
    <t>Stock</t>
  </si>
  <si>
    <t>Amount</t>
  </si>
  <si>
    <t>Target Price</t>
  </si>
  <si>
    <t>€6,000</t>
  </si>
  <si>
    <t>Cheapest mega-cap</t>
  </si>
  <si>
    <t>1</t>
  </si>
  <si>
    <t>€5,000</t>
  </si>
  <si>
    <t>Quality compounder</t>
  </si>
  <si>
    <t>2</t>
  </si>
  <si>
    <t>Best AI semi value</t>
  </si>
  <si>
    <t>3</t>
  </si>
  <si>
    <t>€4,000</t>
  </si>
  <si>
    <t>$215</t>
  </si>
  <si>
    <t>AWS + ads</t>
  </si>
  <si>
    <t>4</t>
  </si>
  <si>
    <t>€3,000</t>
  </si>
  <si>
    <t>Cash machine</t>
  </si>
  <si>
    <t>5</t>
  </si>
  <si>
    <t>Flex</t>
  </si>
  <si>
    <t>€2,000</t>
  </si>
  <si>
    <t>Whichever is down most</t>
  </si>
  <si>
    <t>6</t>
  </si>
  <si>
    <t>€25,000</t>
  </si>
  <si>
    <t>SCENARIO B: NO CORRECTION IN 5 MONTHS (June 2026)</t>
  </si>
  <si>
    <t>Method</t>
  </si>
  <si>
    <t>DCA over 2 months</t>
  </si>
  <si>
    <t>DEPLOY</t>
  </si>
  <si>
    <t>€10,000</t>
  </si>
  <si>
    <t>€15,000</t>
  </si>
  <si>
    <t>Keep for future correction</t>
  </si>
  <si>
    <t>Dry powder</t>
  </si>
  <si>
    <t>INVESTMENT RULES</t>
  </si>
  <si>
    <t>MONTHLY DCA RULES</t>
  </si>
  <si>
    <t>• Only add to stocks showing ⬆️ HIGH or ➡️ MEDIUM in DCA Priority column</t>
  </si>
  <si>
    <t>• 60% to Tier 1 underweights, 30% to Tier 2, 10% to Tier 3</t>
  </si>
  <si>
    <t>• If everything at target, hold cash or add to VWRA in pension</t>
  </si>
  <si>
    <t>• Update 'Shares Owned' after each purchase</t>
  </si>
  <si>
    <t>FALLING KNIFE RULES - Mark YES when:</t>
  </si>
  <si>
    <t>• Stock down 30%+ from recent high (check 'Knife Alert' in Watchlist)</t>
  </si>
  <si>
    <t>• AND still dropping (no bounce for 3+ weeks)</t>
  </si>
  <si>
    <t>• AND you've already added twice during decline</t>
  </si>
  <si>
    <t>• Action: PAUSE - wait for stabilization before adding more</t>
  </si>
  <si>
    <t>THESIS FLAGS</t>
  </si>
  <si>
    <t>• YES = Conviction intact, business strong</t>
  </si>
  <si>
    <t>• UNCERTAIN = Questions but not broken (e.g., NOW)</t>
  </si>
  <si>
    <t>• WEAK = Low conviction, consider trimming (e.g., SOFI)</t>
  </si>
  <si>
    <t>• NO = Thesis broken, SELL (e.g., SNOW)</t>
  </si>
  <si>
    <t>POSITION LIMITS</t>
  </si>
  <si>
    <t>• No single stock &gt;10% (GOOGL max at 9%)</t>
  </si>
  <si>
    <t>• No Tier 3 stock &gt;2% (except CRWV+NBIS combined at 3%)</t>
  </si>
  <si>
    <t>• Tier 3 combined &lt;15% of portfolio</t>
  </si>
  <si>
    <t>THE LESSONS</t>
  </si>
  <si>
    <t>• MU: Don't chase stocks that just ran 50%</t>
  </si>
  <si>
    <t>• NOW: Don't keep adding to falling knives</t>
  </si>
  <si>
    <t>• SNOW: Sell broken thesis, don't hope for recovery</t>
  </si>
  <si>
    <t>• SOFI: Don't let small positions become big through neglect</t>
  </si>
  <si>
    <t>10-YEAR GOAL</t>
  </si>
  <si>
    <t>• Target: €2.5-3.5M liquid (taxable + pension)</t>
  </si>
  <si>
    <t>• Method: 12-15% CAGR + €5k/month contributions + €2k/month pension</t>
  </si>
  <si>
    <t>• Key: Stay invested, don't panic sell, stick to system</t>
  </si>
  <si>
    <t>PORTFOLIO TARGET: 20 STOCKS</t>
  </si>
  <si>
    <t>• Current: ~30 tickers</t>
  </si>
  <si>
    <t>• Sell: SNOW, TWLO, IREN</t>
  </si>
  <si>
    <t>• Trim: SOFI, TSLA</t>
  </si>
  <si>
    <t>• Add: AXON</t>
  </si>
  <si>
    <t>• Keep both: CRWV + NBIS (1.5% each - AI infra barbell)</t>
  </si>
  <si>
    <t>• Goal: Concentrated, high-conviction portfolio</t>
  </si>
  <si>
    <t>TARGET ALLOCATIONS</t>
  </si>
  <si>
    <t>Stocks</t>
  </si>
  <si>
    <t>Count</t>
  </si>
  <si>
    <t>Tier 1 - Stability</t>
  </si>
  <si>
    <t>GOOGL, MSFT, AMZN, AAPL, META, NVDA, AVGO, V, MA</t>
  </si>
  <si>
    <t>55%</t>
  </si>
  <si>
    <t>9</t>
  </si>
  <si>
    <t>Tier 2 - Growth</t>
  </si>
  <si>
    <t>CRWD, MELI, NET, VRT, AMD, NU, NVO, AXON, UBER, SHOP, NOW</t>
  </si>
  <si>
    <t>30%</t>
  </si>
  <si>
    <t>11</t>
  </si>
  <si>
    <t>Tier 3 - Speculative</t>
  </si>
  <si>
    <t>PLTR, COIN, RKLB, CRWV, NBIS, TSLA, SOFI, SE, DDOG</t>
  </si>
  <si>
    <t>15%</t>
  </si>
  <si>
    <t>100%</t>
  </si>
  <si>
    <t>29 → 20</t>
  </si>
  <si>
    <t>INDIVIDUAL TARGETS</t>
  </si>
  <si>
    <t>6%</t>
  </si>
  <si>
    <t>4%</t>
  </si>
  <si>
    <t>1.5%</t>
  </si>
  <si>
    <t>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</si>
</sst>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0.0%"/>
    <numFmt numFmtId="166" formatCode="+0.00%;-0.00%"/>
  </numFmts>
  <fonts count="12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FF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b/>
      <sz val="11.0"/>
      <color theme="1"/>
      <name val="Calibri"/>
      <scheme val="minor"/>
    </font>
    <font/>
    <font>
      <b/>
      <color rgb="FFFF0000"/>
      <name val="Calibri"/>
      <scheme val="minor"/>
    </font>
    <font>
      <b/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Border="1" applyFont="1"/>
    <xf borderId="1" fillId="3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4" numFmtId="10" xfId="0" applyBorder="1" applyFont="1" applyNumberFormat="1"/>
    <xf borderId="1" fillId="0" fontId="4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0" fillId="0" fontId="7" numFmtId="0" xfId="0" applyFont="1"/>
    <xf borderId="1" fillId="2" fontId="2" numFmtId="164" xfId="0" applyAlignment="1" applyBorder="1" applyFont="1" applyNumberFormat="1">
      <alignment horizontal="center" readingOrder="0"/>
    </xf>
    <xf borderId="1" fillId="0" fontId="4" numFmtId="164" xfId="0" applyBorder="1" applyFont="1" applyNumberFormat="1"/>
    <xf borderId="1" fillId="0" fontId="5" numFmtId="165" xfId="0" applyAlignment="1" applyBorder="1" applyFont="1" applyNumberFormat="1">
      <alignment horizontal="center"/>
    </xf>
    <xf borderId="1" fillId="0" fontId="4" numFmtId="166" xfId="0" applyBorder="1" applyFont="1" applyNumberFormat="1"/>
    <xf borderId="1" fillId="4" fontId="5" numFmtId="0" xfId="0" applyAlignment="1" applyBorder="1" applyFont="1">
      <alignment horizontal="center"/>
    </xf>
    <xf borderId="0" fillId="0" fontId="6" numFmtId="0" xfId="0" applyFont="1"/>
    <xf borderId="1" fillId="0" fontId="6" numFmtId="164" xfId="0" applyBorder="1" applyFont="1" applyNumberFormat="1"/>
    <xf borderId="0" fillId="0" fontId="3" numFmtId="0" xfId="0" applyFont="1"/>
    <xf borderId="2" fillId="5" fontId="8" numFmtId="0" xfId="0" applyBorder="1" applyFont="1"/>
    <xf borderId="3" fillId="0" fontId="9" numFmtId="0" xfId="0" applyBorder="1" applyFont="1"/>
    <xf borderId="4" fillId="0" fontId="9" numFmtId="0" xfId="0" applyBorder="1" applyFont="1"/>
    <xf borderId="1" fillId="2" fontId="2" numFmtId="0" xfId="0" applyBorder="1" applyFont="1"/>
    <xf borderId="2" fillId="4" fontId="8" numFmtId="0" xfId="0" applyBorder="1" applyFont="1"/>
    <xf borderId="2" fillId="3" fontId="8" numFmtId="0" xfId="0" applyBorder="1" applyFont="1"/>
    <xf borderId="0" fillId="0" fontId="10" numFmtId="0" xfId="0" applyFont="1"/>
    <xf borderId="1" fillId="0" fontId="6" numFmtId="0" xfId="0" applyBorder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6.0"/>
    <col customWidth="1" min="3" max="4" width="11.0"/>
    <col customWidth="1" min="5" max="5" width="10.0"/>
    <col customWidth="1" min="6" max="6" width="15.0"/>
    <col customWidth="1" min="7" max="9" width="11.0"/>
    <col customWidth="1" min="10" max="10" width="12.0"/>
    <col customWidth="1" min="11" max="11" width="37.43"/>
    <col customWidth="1" min="12" max="12" width="31.86"/>
    <col customWidth="1" min="13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3" t="s">
        <v>12</v>
      </c>
    </row>
    <row r="4">
      <c r="A4" s="4" t="s">
        <v>13</v>
      </c>
      <c r="B4" s="5">
        <v>1.0</v>
      </c>
      <c r="C4" s="4">
        <f>IFERROR(__xludf.DUMMYFUNCTION("IFERROR(GOOGLEFINANCE(""NASDAQ:GOOGL"", ""price""), 0)"),361.85)</f>
        <v>361.85</v>
      </c>
      <c r="D4" s="6">
        <v>300.0</v>
      </c>
      <c r="E4" s="7">
        <f t="shared" ref="E4:E31" si="1">IFERROR((D4-C4)/C4, 0)</f>
        <v>-0.1709271798</v>
      </c>
      <c r="F4" s="4" t="str">
        <f t="shared" ref="F4:F31" si="2">IF(C4=0,"-",IF(E4&gt;=0,"🔥 STRONG BUY",IF(E4&gt;=-0.05,"✅ BUY",IF(E4&gt;=-0.15,"👀 WATCH","💤 HOLD"))))</f>
        <v>💤 HOLD</v>
      </c>
      <c r="G4" s="4">
        <f>IFERROR(__xludf.DUMMYFUNCTION("IFERROR(GOOGLEFINANCE(""NASDAQ:GOOGL"", ""high52""), 0)"),408.61)</f>
        <v>408.61</v>
      </c>
      <c r="H4" s="7">
        <f t="shared" ref="H4:H31" si="3">IFERROR((C4-G4)/G4, 0)</f>
        <v>-0.114436749</v>
      </c>
      <c r="I4" s="8" t="str">
        <f t="shared" ref="I4:I31" si="4">IF(H4&lt;-0.3,"🔪 KNIFE","")</f>
        <v/>
      </c>
      <c r="J4" s="8" t="s">
        <v>14</v>
      </c>
      <c r="K4" s="4" t="s">
        <v>15</v>
      </c>
      <c r="L4" s="3" t="s">
        <v>16</v>
      </c>
    </row>
    <row r="5">
      <c r="A5" s="4" t="s">
        <v>17</v>
      </c>
      <c r="B5" s="5">
        <v>1.0</v>
      </c>
      <c r="C5" s="4">
        <f>IFERROR(__xludf.DUMMYFUNCTION("IFERROR(GOOGLEFINANCE(""NASDAQ:MSFT"", ""price""), 0)"),441.31)</f>
        <v>441.31</v>
      </c>
      <c r="D5" s="6">
        <v>440.0</v>
      </c>
      <c r="E5" s="7">
        <f t="shared" si="1"/>
        <v>-0.002968434887</v>
      </c>
      <c r="F5" s="4" t="str">
        <f t="shared" si="2"/>
        <v>✅ BUY</v>
      </c>
      <c r="G5" s="4">
        <f>IFERROR(__xludf.DUMMYFUNCTION("IFERROR(GOOGLEFINANCE(""NASDAQ:MSFT"", ""high52""), 0)"),555.45)</f>
        <v>555.45</v>
      </c>
      <c r="H5" s="7">
        <f t="shared" si="3"/>
        <v>-0.2054910433</v>
      </c>
      <c r="I5" s="8" t="str">
        <f t="shared" si="4"/>
        <v/>
      </c>
      <c r="J5" s="9" t="s">
        <v>18</v>
      </c>
      <c r="K5" s="4" t="s">
        <v>19</v>
      </c>
    </row>
    <row r="6">
      <c r="A6" s="4" t="s">
        <v>20</v>
      </c>
      <c r="B6" s="5">
        <v>1.0</v>
      </c>
      <c r="C6" s="4">
        <f>IFERROR(__xludf.DUMMYFUNCTION("IFERROR(GOOGLEFINANCE(""NASDAQ:AMZN"", ""price""), 0)"),256.52)</f>
        <v>256.52</v>
      </c>
      <c r="D6" s="6">
        <v>195.0</v>
      </c>
      <c r="E6" s="7">
        <f t="shared" si="1"/>
        <v>-0.2398253547</v>
      </c>
      <c r="F6" s="4" t="str">
        <f t="shared" si="2"/>
        <v>💤 HOLD</v>
      </c>
      <c r="G6" s="4">
        <f>IFERROR(__xludf.DUMMYFUNCTION("IFERROR(GOOGLEFINANCE(""NASDAQ:AMZN"", ""high52""), 0)"),278.56)</f>
        <v>278.56</v>
      </c>
      <c r="H6" s="7">
        <f t="shared" si="3"/>
        <v>-0.07912119472</v>
      </c>
      <c r="I6" s="8" t="str">
        <f t="shared" si="4"/>
        <v/>
      </c>
      <c r="J6" s="8" t="s">
        <v>14</v>
      </c>
      <c r="K6" s="4" t="s">
        <v>21</v>
      </c>
      <c r="L6" s="3" t="s">
        <v>22</v>
      </c>
    </row>
    <row r="7">
      <c r="A7" s="4" t="s">
        <v>23</v>
      </c>
      <c r="B7" s="5">
        <v>1.0</v>
      </c>
      <c r="C7" s="4">
        <f>IFERROR(__xludf.DUMMYFUNCTION("IFERROR(GOOGLEFINANCE(""NASDAQ:AAPL"", ""price""), 0)"),315.2)</f>
        <v>315.2</v>
      </c>
      <c r="D7" s="6">
        <v>235.0</v>
      </c>
      <c r="E7" s="7">
        <f t="shared" si="1"/>
        <v>-0.2544416244</v>
      </c>
      <c r="F7" s="4" t="str">
        <f t="shared" si="2"/>
        <v>💤 HOLD</v>
      </c>
      <c r="G7" s="4">
        <f>IFERROR(__xludf.DUMMYFUNCTION("IFERROR(GOOGLEFINANCE(""NASDAQ:AAPL"", ""high52""), 0)"),315.45)</f>
        <v>315.45</v>
      </c>
      <c r="H7" s="7">
        <f t="shared" si="3"/>
        <v>-0.0007925186242</v>
      </c>
      <c r="I7" s="8" t="str">
        <f t="shared" si="4"/>
        <v/>
      </c>
      <c r="J7" s="9" t="s">
        <v>18</v>
      </c>
      <c r="K7" s="4" t="s">
        <v>24</v>
      </c>
    </row>
    <row r="8">
      <c r="A8" s="4" t="s">
        <v>25</v>
      </c>
      <c r="B8" s="5">
        <v>1.0</v>
      </c>
      <c r="C8" s="4">
        <f>IFERROR(__xludf.DUMMYFUNCTION("IFERROR(GOOGLEFINANCE(""NASDAQ:META"", ""price""), 0)"),597.63)</f>
        <v>597.63</v>
      </c>
      <c r="D8" s="6">
        <v>620.0</v>
      </c>
      <c r="E8" s="7">
        <f t="shared" si="1"/>
        <v>0.03743118652</v>
      </c>
      <c r="F8" s="4" t="str">
        <f t="shared" si="2"/>
        <v>🔥 STRONG BUY</v>
      </c>
      <c r="G8" s="4">
        <f>IFERROR(__xludf.DUMMYFUNCTION("IFERROR(GOOGLEFINANCE(""NASDAQ:META"", ""high52""), 0)"),796.25)</f>
        <v>796.25</v>
      </c>
      <c r="H8" s="7">
        <f t="shared" si="3"/>
        <v>-0.24944427</v>
      </c>
      <c r="I8" s="8" t="str">
        <f t="shared" si="4"/>
        <v/>
      </c>
      <c r="J8" s="8" t="s">
        <v>14</v>
      </c>
      <c r="K8" s="4" t="s">
        <v>26</v>
      </c>
      <c r="L8" s="3" t="s">
        <v>22</v>
      </c>
    </row>
    <row r="9">
      <c r="A9" s="4" t="s">
        <v>27</v>
      </c>
      <c r="B9" s="5">
        <v>1.0</v>
      </c>
      <c r="C9" s="4">
        <f>IFERROR(__xludf.DUMMYFUNCTION("IFERROR(GOOGLEFINANCE(""NASDAQ:NVDA"", ""price""), 0)"),222.82)</f>
        <v>222.82</v>
      </c>
      <c r="D9" s="6">
        <v>170.0</v>
      </c>
      <c r="E9" s="7">
        <f t="shared" si="1"/>
        <v>-0.2370523292</v>
      </c>
      <c r="F9" s="4" t="str">
        <f t="shared" si="2"/>
        <v>💤 HOLD</v>
      </c>
      <c r="G9" s="4">
        <f>IFERROR(__xludf.DUMMYFUNCTION("IFERROR(GOOGLEFINANCE(""NASDAQ:NVDA"", ""high52""), 0)"),236.54)</f>
        <v>236.54</v>
      </c>
      <c r="H9" s="7">
        <f t="shared" si="3"/>
        <v>-0.05800287478</v>
      </c>
      <c r="I9" s="8" t="str">
        <f t="shared" si="4"/>
        <v/>
      </c>
      <c r="J9" s="8" t="s">
        <v>14</v>
      </c>
      <c r="K9" s="4" t="s">
        <v>28</v>
      </c>
      <c r="L9" s="3" t="s">
        <v>22</v>
      </c>
    </row>
    <row r="10">
      <c r="A10" s="4" t="s">
        <v>29</v>
      </c>
      <c r="B10" s="5">
        <v>1.0</v>
      </c>
      <c r="C10" s="4">
        <f>IFERROR(__xludf.DUMMYFUNCTION("IFERROR(GOOGLEFINANCE(""NASDAQ:AVGO"", ""price""), 0)"),481.57)</f>
        <v>481.57</v>
      </c>
      <c r="D10" s="6">
        <v>300.0</v>
      </c>
      <c r="E10" s="7">
        <f t="shared" si="1"/>
        <v>-0.3770376062</v>
      </c>
      <c r="F10" s="4" t="str">
        <f t="shared" si="2"/>
        <v>💤 HOLD</v>
      </c>
      <c r="G10" s="4">
        <f>IFERROR(__xludf.DUMMYFUNCTION("IFERROR(GOOGLEFINANCE(""NASDAQ:AVGO"", ""high52""), 0)"),488.82)</f>
        <v>488.82</v>
      </c>
      <c r="H10" s="7">
        <f t="shared" si="3"/>
        <v>-0.01483163537</v>
      </c>
      <c r="I10" s="8" t="str">
        <f t="shared" si="4"/>
        <v/>
      </c>
      <c r="J10" s="9" t="s">
        <v>18</v>
      </c>
      <c r="K10" s="4" t="s">
        <v>30</v>
      </c>
    </row>
    <row r="11">
      <c r="A11" s="4" t="s">
        <v>31</v>
      </c>
      <c r="B11" s="5">
        <v>1.0</v>
      </c>
      <c r="C11" s="4">
        <f>IFERROR(__xludf.DUMMYFUNCTION("IFERROR(GOOGLEFINANCE(""NYSE:MA"", ""price""), 0)"),477.68)</f>
        <v>477.68</v>
      </c>
      <c r="D11" s="6">
        <v>500.0</v>
      </c>
      <c r="E11" s="7">
        <f t="shared" si="1"/>
        <v>0.04672584157</v>
      </c>
      <c r="F11" s="4" t="str">
        <f t="shared" si="2"/>
        <v>🔥 STRONG BUY</v>
      </c>
      <c r="G11" s="4">
        <f>IFERROR(__xludf.DUMMYFUNCTION("IFERROR(GOOGLEFINANCE(""NYSE:MA"", ""high52""), 0)"),601.77)</f>
        <v>601.77</v>
      </c>
      <c r="H11" s="7">
        <f t="shared" si="3"/>
        <v>-0.206208352</v>
      </c>
      <c r="I11" s="8" t="str">
        <f t="shared" si="4"/>
        <v/>
      </c>
      <c r="J11" s="8" t="s">
        <v>14</v>
      </c>
      <c r="K11" s="4" t="s">
        <v>32</v>
      </c>
    </row>
    <row r="12">
      <c r="A12" s="4" t="s">
        <v>33</v>
      </c>
      <c r="B12" s="10">
        <v>2.0</v>
      </c>
      <c r="C12" s="4">
        <f>IFERROR(__xludf.DUMMYFUNCTION("IFERROR(GOOGLEFINANCE(""NASDAQ:CRWD"", ""price""), 0)"),768.95)</f>
        <v>768.95</v>
      </c>
      <c r="D12" s="6">
        <v>380.0</v>
      </c>
      <c r="E12" s="7">
        <f t="shared" si="1"/>
        <v>-0.5058196242</v>
      </c>
      <c r="F12" s="4" t="str">
        <f t="shared" si="2"/>
        <v>💤 HOLD</v>
      </c>
      <c r="G12" s="4">
        <f>IFERROR(__xludf.DUMMYFUNCTION("IFERROR(GOOGLEFINANCE(""NASDAQ:CRWD"", ""high52""), 0)"),785.66)</f>
        <v>785.66</v>
      </c>
      <c r="H12" s="7">
        <f t="shared" si="3"/>
        <v>-0.0212687422</v>
      </c>
      <c r="I12" s="8" t="str">
        <f t="shared" si="4"/>
        <v/>
      </c>
      <c r="J12" s="8" t="s">
        <v>14</v>
      </c>
      <c r="K12" s="4" t="s">
        <v>34</v>
      </c>
      <c r="L12" s="3" t="s">
        <v>35</v>
      </c>
    </row>
    <row r="13">
      <c r="A13" s="4" t="s">
        <v>36</v>
      </c>
      <c r="B13" s="10">
        <v>2.0</v>
      </c>
      <c r="C13" s="4">
        <f>IFERROR(__xludf.DUMMYFUNCTION("IFERROR(GOOGLEFINANCE(""NASDAQ:MELI"", ""price""), 0)"),1672.83)</f>
        <v>1672.83</v>
      </c>
      <c r="D13" s="6">
        <v>1900.0</v>
      </c>
      <c r="E13" s="7">
        <f t="shared" si="1"/>
        <v>0.1357998123</v>
      </c>
      <c r="F13" s="4" t="str">
        <f t="shared" si="2"/>
        <v>🔥 STRONG BUY</v>
      </c>
      <c r="G13" s="4">
        <f>IFERROR(__xludf.DUMMYFUNCTION("IFERROR(GOOGLEFINANCE(""NASDAQ:MELI"", ""high52""), 0)"),2645.22)</f>
        <v>2645.22</v>
      </c>
      <c r="H13" s="7">
        <f t="shared" si="3"/>
        <v>-0.3676026947</v>
      </c>
      <c r="I13" s="8" t="str">
        <f t="shared" si="4"/>
        <v>🔪 KNIFE</v>
      </c>
      <c r="J13" s="8" t="s">
        <v>14</v>
      </c>
      <c r="K13" s="4" t="s">
        <v>37</v>
      </c>
    </row>
    <row r="14">
      <c r="A14" s="4" t="s">
        <v>38</v>
      </c>
      <c r="B14" s="10">
        <v>2.0</v>
      </c>
      <c r="C14" s="4">
        <f>IFERROR(__xludf.DUMMYFUNCTION("IFERROR(GOOGLEFINANCE(""NYSE:NET"", ""price""), 0)"),272.66)</f>
        <v>272.66</v>
      </c>
      <c r="D14" s="6">
        <v>175.0</v>
      </c>
      <c r="E14" s="7">
        <f t="shared" si="1"/>
        <v>-0.3581750165</v>
      </c>
      <c r="F14" s="4" t="str">
        <f t="shared" si="2"/>
        <v>💤 HOLD</v>
      </c>
      <c r="G14" s="4">
        <f>IFERROR(__xludf.DUMMYFUNCTION("IFERROR(GOOGLEFINANCE(""NYSE:NET"", ""high52""), 0)"),274.63)</f>
        <v>274.63</v>
      </c>
      <c r="H14" s="7">
        <f t="shared" si="3"/>
        <v>-0.007173287696</v>
      </c>
      <c r="I14" s="8" t="str">
        <f t="shared" si="4"/>
        <v/>
      </c>
      <c r="J14" s="8" t="s">
        <v>39</v>
      </c>
      <c r="K14" s="4" t="s">
        <v>40</v>
      </c>
    </row>
    <row r="15">
      <c r="A15" s="4" t="s">
        <v>41</v>
      </c>
      <c r="B15" s="10">
        <v>2.0</v>
      </c>
      <c r="C15" s="4">
        <f>IFERROR(__xludf.DUMMYFUNCTION("IFERROR(GOOGLEFINANCE(""NYSE:VRT"", ""price""), 0)"),334.49)</f>
        <v>334.49</v>
      </c>
      <c r="D15" s="6">
        <v>220.0</v>
      </c>
      <c r="E15" s="7">
        <f t="shared" si="1"/>
        <v>-0.3422822805</v>
      </c>
      <c r="F15" s="4" t="str">
        <f t="shared" si="2"/>
        <v>💤 HOLD</v>
      </c>
      <c r="G15" s="4">
        <f>IFERROR(__xludf.DUMMYFUNCTION("IFERROR(GOOGLEFINANCE(""NYSE:VRT"", ""high52""), 0)"),379.94)</f>
        <v>379.94</v>
      </c>
      <c r="H15" s="7">
        <f t="shared" si="3"/>
        <v>-0.1196241512</v>
      </c>
      <c r="I15" s="8" t="str">
        <f t="shared" si="4"/>
        <v/>
      </c>
      <c r="J15" s="8" t="s">
        <v>39</v>
      </c>
      <c r="K15" s="4" t="s">
        <v>42</v>
      </c>
      <c r="L15" s="3" t="s">
        <v>35</v>
      </c>
    </row>
    <row r="16">
      <c r="A16" s="4" t="s">
        <v>43</v>
      </c>
      <c r="B16" s="10">
        <v>2.0</v>
      </c>
      <c r="C16" s="4">
        <f>IFERROR(__xludf.DUMMYFUNCTION("IFERROR(GOOGLEFINANCE(""NASDAQ:AMD"", ""price""), 0)"),521.54)</f>
        <v>521.54</v>
      </c>
      <c r="D16" s="6">
        <v>190.0</v>
      </c>
      <c r="E16" s="7">
        <f t="shared" si="1"/>
        <v>-0.63569429</v>
      </c>
      <c r="F16" s="4" t="str">
        <f t="shared" si="2"/>
        <v>💤 HOLD</v>
      </c>
      <c r="G16" s="4">
        <f>IFERROR(__xludf.DUMMYFUNCTION("IFERROR(GOOGLEFINANCE(""NASDAQ:AMD"", ""high52""), 0)"),527.2)</f>
        <v>527.2</v>
      </c>
      <c r="H16" s="7">
        <f t="shared" si="3"/>
        <v>-0.01073596358</v>
      </c>
      <c r="I16" s="8" t="str">
        <f t="shared" si="4"/>
        <v/>
      </c>
      <c r="J16" s="9" t="s">
        <v>18</v>
      </c>
      <c r="K16" s="4" t="s">
        <v>44</v>
      </c>
    </row>
    <row r="17">
      <c r="A17" s="4" t="s">
        <v>45</v>
      </c>
      <c r="B17" s="10">
        <v>2.0</v>
      </c>
      <c r="C17" s="4">
        <f>IFERROR(__xludf.DUMMYFUNCTION("IFERROR(GOOGLEFINANCE(""NYSE:NU"", ""price""), 0)"),11.93)</f>
        <v>11.93</v>
      </c>
      <c r="D17" s="6">
        <v>13.0</v>
      </c>
      <c r="E17" s="7">
        <f t="shared" si="1"/>
        <v>0.0896898575</v>
      </c>
      <c r="F17" s="4" t="str">
        <f t="shared" si="2"/>
        <v>🔥 STRONG BUY</v>
      </c>
      <c r="G17" s="4">
        <f>IFERROR(__xludf.DUMMYFUNCTION("IFERROR(GOOGLEFINANCE(""NYSE:NU"", ""high52""), 0)"),18.98)</f>
        <v>18.98</v>
      </c>
      <c r="H17" s="7">
        <f t="shared" si="3"/>
        <v>-0.3714436249</v>
      </c>
      <c r="I17" s="8" t="str">
        <f t="shared" si="4"/>
        <v>🔪 KNIFE</v>
      </c>
      <c r="J17" s="9" t="s">
        <v>18</v>
      </c>
      <c r="K17" s="4" t="s">
        <v>46</v>
      </c>
      <c r="L17" s="3" t="s">
        <v>35</v>
      </c>
    </row>
    <row r="18">
      <c r="A18" s="4" t="s">
        <v>47</v>
      </c>
      <c r="B18" s="10">
        <v>2.0</v>
      </c>
      <c r="C18" s="4">
        <f>IFERROR(__xludf.DUMMYFUNCTION("IFERROR(GOOGLEFINANCE(""NYSE:NVO"", ""price""), 0)"),42.92)</f>
        <v>42.92</v>
      </c>
      <c r="D18" s="6">
        <v>43.0</v>
      </c>
      <c r="E18" s="7">
        <f t="shared" si="1"/>
        <v>0.001863932898</v>
      </c>
      <c r="F18" s="4" t="str">
        <f t="shared" si="2"/>
        <v>🔥 STRONG BUY</v>
      </c>
      <c r="G18" s="4">
        <f>IFERROR(__xludf.DUMMYFUNCTION("IFERROR(GOOGLEFINANCE(""NYSE:NVO"", ""high52""), 0)"),81.44)</f>
        <v>81.44</v>
      </c>
      <c r="H18" s="7">
        <f t="shared" si="3"/>
        <v>-0.4729862475</v>
      </c>
      <c r="I18" s="8" t="str">
        <f t="shared" si="4"/>
        <v>🔪 KNIFE</v>
      </c>
      <c r="J18" s="8" t="s">
        <v>39</v>
      </c>
      <c r="K18" s="4" t="s">
        <v>48</v>
      </c>
    </row>
    <row r="19">
      <c r="A19" s="4" t="s">
        <v>49</v>
      </c>
      <c r="B19" s="10">
        <v>2.0</v>
      </c>
      <c r="C19" s="4">
        <f>IFERROR(__xludf.DUMMYFUNCTION("IFERROR(GOOGLEFINANCE(""NASDAQ:AXON"", ""price""), 0)"),490.12)</f>
        <v>490.12</v>
      </c>
      <c r="D19" s="6">
        <v>451.0</v>
      </c>
      <c r="E19" s="7">
        <f t="shared" si="1"/>
        <v>-0.07981718763</v>
      </c>
      <c r="F19" s="4" t="str">
        <f t="shared" si="2"/>
        <v>👀 WATCH</v>
      </c>
      <c r="G19" s="4">
        <f>IFERROR(__xludf.DUMMYFUNCTION("IFERROR(GOOGLEFINANCE(""NASDAQ:AXON"", ""high52""), 0)"),885.92)</f>
        <v>885.92</v>
      </c>
      <c r="H19" s="7">
        <f t="shared" si="3"/>
        <v>-0.4467672025</v>
      </c>
      <c r="I19" s="8" t="str">
        <f t="shared" si="4"/>
        <v>🔪 KNIFE</v>
      </c>
      <c r="J19" s="9" t="s">
        <v>50</v>
      </c>
      <c r="K19" s="4" t="s">
        <v>51</v>
      </c>
    </row>
    <row r="20" ht="15.75" customHeight="1">
      <c r="A20" s="4" t="s">
        <v>52</v>
      </c>
      <c r="B20" s="10">
        <v>2.0</v>
      </c>
      <c r="C20" s="4">
        <f>IFERROR(__xludf.DUMMYFUNCTION("IFERROR(GOOGLEFINANCE(""NYSE:UBER"", ""price""), 0)"),71.62)</f>
        <v>71.62</v>
      </c>
      <c r="D20" s="6">
        <v>71.0</v>
      </c>
      <c r="E20" s="7">
        <f t="shared" si="1"/>
        <v>-0.008656799777</v>
      </c>
      <c r="F20" s="4" t="str">
        <f t="shared" si="2"/>
        <v>✅ BUY</v>
      </c>
      <c r="G20" s="4">
        <f>IFERROR(__xludf.DUMMYFUNCTION("IFERROR(GOOGLEFINANCE(""NYSE:UBER"", ""high52""), 0)"),101.99)</f>
        <v>101.99</v>
      </c>
      <c r="H20" s="7">
        <f t="shared" si="3"/>
        <v>-0.2977742916</v>
      </c>
      <c r="I20" s="8" t="str">
        <f t="shared" si="4"/>
        <v/>
      </c>
      <c r="J20" s="8" t="s">
        <v>39</v>
      </c>
      <c r="K20" s="4" t="s">
        <v>53</v>
      </c>
    </row>
    <row r="21" ht="15.75" customHeight="1">
      <c r="A21" s="4" t="s">
        <v>54</v>
      </c>
      <c r="B21" s="10">
        <v>2.0</v>
      </c>
      <c r="C21" s="4">
        <f>IFERROR(__xludf.DUMMYFUNCTION("IFERROR(GOOGLEFINANCE(""NASDAQ:SHOP"", ""price""), 0)"),117.01)</f>
        <v>117.01</v>
      </c>
      <c r="D21" s="6">
        <v>118.0</v>
      </c>
      <c r="E21" s="7">
        <f t="shared" si="1"/>
        <v>0.008460815315</v>
      </c>
      <c r="F21" s="4" t="str">
        <f t="shared" si="2"/>
        <v>🔥 STRONG BUY</v>
      </c>
      <c r="G21" s="4">
        <f>IFERROR(__xludf.DUMMYFUNCTION("IFERROR(GOOGLEFINANCE(""NYSE:SHOP"", ""high52""), 0)"),0.0)</f>
        <v>0</v>
      </c>
      <c r="H21" s="7">
        <f t="shared" si="3"/>
        <v>0</v>
      </c>
      <c r="I21" s="8" t="str">
        <f t="shared" si="4"/>
        <v/>
      </c>
      <c r="J21" s="8" t="s">
        <v>39</v>
      </c>
      <c r="K21" s="4" t="s">
        <v>55</v>
      </c>
    </row>
    <row r="22" ht="15.75" customHeight="1">
      <c r="A22" s="4" t="s">
        <v>56</v>
      </c>
      <c r="B22" s="10">
        <v>2.0</v>
      </c>
      <c r="C22" s="4">
        <f>IFERROR(__xludf.DUMMYFUNCTION("IFERROR(GOOGLEFINANCE(""NYSE:NOW"", ""price""), 0)"),127.65)</f>
        <v>127.65</v>
      </c>
      <c r="D22" s="6">
        <v>99.0</v>
      </c>
      <c r="E22" s="7">
        <f t="shared" si="1"/>
        <v>-0.2244418331</v>
      </c>
      <c r="F22" s="4" t="str">
        <f t="shared" si="2"/>
        <v>💤 HOLD</v>
      </c>
      <c r="G22" s="4">
        <f>IFERROR(__xludf.DUMMYFUNCTION("IFERROR(GOOGLEFINANCE(""NYSE:NOW"", ""high52""), 0)"),211.48)</f>
        <v>211.48</v>
      </c>
      <c r="H22" s="7">
        <f t="shared" si="3"/>
        <v>-0.3963968224</v>
      </c>
      <c r="I22" s="8" t="str">
        <f t="shared" si="4"/>
        <v>🔪 KNIFE</v>
      </c>
      <c r="J22" s="11" t="s">
        <v>57</v>
      </c>
      <c r="K22" s="4" t="s">
        <v>58</v>
      </c>
      <c r="L22" s="3" t="s">
        <v>35</v>
      </c>
    </row>
    <row r="23" ht="15.75" customHeight="1">
      <c r="A23" s="4" t="s">
        <v>59</v>
      </c>
      <c r="B23" s="12">
        <v>3.0</v>
      </c>
      <c r="C23" s="4">
        <f>IFERROR(__xludf.DUMMYFUNCTION("IFERROR(GOOGLEFINANCE(""NASDAQ:PLTR"", ""price""), 0)"),152.17)</f>
        <v>152.17</v>
      </c>
      <c r="D23" s="6">
        <v>125.0</v>
      </c>
      <c r="E23" s="7">
        <f t="shared" si="1"/>
        <v>-0.1785503056</v>
      </c>
      <c r="F23" s="4" t="str">
        <f t="shared" si="2"/>
        <v>💤 HOLD</v>
      </c>
      <c r="G23" s="4">
        <f>IFERROR(__xludf.DUMMYFUNCTION("IFERROR(GOOGLEFINANCE(""NASDAQ:PLTR"", ""high52""), 0)"),207.52)</f>
        <v>207.52</v>
      </c>
      <c r="H23" s="7">
        <f t="shared" si="3"/>
        <v>-0.2667212799</v>
      </c>
      <c r="I23" s="8" t="str">
        <f t="shared" si="4"/>
        <v/>
      </c>
      <c r="J23" s="8" t="s">
        <v>39</v>
      </c>
      <c r="K23" s="4" t="s">
        <v>60</v>
      </c>
      <c r="L23" s="3" t="s">
        <v>35</v>
      </c>
    </row>
    <row r="24" ht="15.75" customHeight="1">
      <c r="A24" s="4" t="s">
        <v>61</v>
      </c>
      <c r="B24" s="12">
        <v>3.0</v>
      </c>
      <c r="C24" s="4">
        <f>IFERROR(__xludf.DUMMYFUNCTION("IFERROR(GOOGLEFINANCE(""NASDAQ:COIN"", ""price""), 0)"),173.99)</f>
        <v>173.99</v>
      </c>
      <c r="D24" s="6">
        <v>165.0</v>
      </c>
      <c r="E24" s="7">
        <f t="shared" si="1"/>
        <v>-0.05166963619</v>
      </c>
      <c r="F24" s="4" t="str">
        <f t="shared" si="2"/>
        <v>👀 WATCH</v>
      </c>
      <c r="G24" s="4">
        <f>IFERROR(__xludf.DUMMYFUNCTION("IFERROR(GOOGLEFINANCE(""NASDAQ:COIN"", ""high52""), 0)"),444.65)</f>
        <v>444.65</v>
      </c>
      <c r="H24" s="7">
        <f t="shared" si="3"/>
        <v>-0.6087034746</v>
      </c>
      <c r="I24" s="8" t="str">
        <f t="shared" si="4"/>
        <v>🔪 KNIFE</v>
      </c>
      <c r="J24" s="8" t="s">
        <v>39</v>
      </c>
      <c r="K24" s="4" t="s">
        <v>62</v>
      </c>
    </row>
    <row r="25" ht="15.75" customHeight="1">
      <c r="A25" s="4" t="s">
        <v>63</v>
      </c>
      <c r="B25" s="12">
        <v>3.0</v>
      </c>
      <c r="C25" s="4">
        <f>IFERROR(__xludf.DUMMYFUNCTION("IFERROR(GOOGLEFINANCE(""NASDAQ:RKLB"", ""price""), 0)"),123.32)</f>
        <v>123.32</v>
      </c>
      <c r="D25" s="6">
        <v>65.0</v>
      </c>
      <c r="E25" s="7">
        <f t="shared" si="1"/>
        <v>-0.4729159909</v>
      </c>
      <c r="F25" s="4" t="str">
        <f t="shared" si="2"/>
        <v>💤 HOLD</v>
      </c>
      <c r="G25" s="4">
        <f>IFERROR(__xludf.DUMMYFUNCTION("IFERROR(GOOGLEFINANCE(""NASDAQ:RKLB"", ""high52""), 0)"),151.0)</f>
        <v>151</v>
      </c>
      <c r="H25" s="7">
        <f t="shared" si="3"/>
        <v>-0.1833112583</v>
      </c>
      <c r="I25" s="8" t="str">
        <f t="shared" si="4"/>
        <v/>
      </c>
      <c r="J25" s="8" t="s">
        <v>39</v>
      </c>
      <c r="K25" s="4" t="s">
        <v>64</v>
      </c>
      <c r="L25" s="3" t="s">
        <v>35</v>
      </c>
    </row>
    <row r="26" ht="15.75" customHeight="1">
      <c r="A26" s="4" t="s">
        <v>65</v>
      </c>
      <c r="B26" s="12">
        <v>3.0</v>
      </c>
      <c r="C26" s="4">
        <f>IFERROR(__xludf.DUMMYFUNCTION("IFERROR(GOOGLEFINANCE(""NASDAQ:CRWV"", ""price""), 0)"),119.27)</f>
        <v>119.27</v>
      </c>
      <c r="D26" s="6">
        <v>82.0</v>
      </c>
      <c r="E26" s="7">
        <f t="shared" si="1"/>
        <v>-0.3124842794</v>
      </c>
      <c r="F26" s="4" t="str">
        <f t="shared" si="2"/>
        <v>💤 HOLD</v>
      </c>
      <c r="G26" s="4">
        <f>IFERROR(__xludf.DUMMYFUNCTION("IFERROR(GOOGLEFINANCE(""NASDAQ:CRWV"", ""high52""), 0)"),187.0)</f>
        <v>187</v>
      </c>
      <c r="H26" s="7">
        <f t="shared" si="3"/>
        <v>-0.3621925134</v>
      </c>
      <c r="I26" s="8" t="str">
        <f t="shared" si="4"/>
        <v>🔪 KNIFE</v>
      </c>
      <c r="J26" s="8" t="s">
        <v>39</v>
      </c>
      <c r="K26" s="4" t="s">
        <v>66</v>
      </c>
    </row>
    <row r="27" ht="15.75" customHeight="1">
      <c r="A27" s="4" t="s">
        <v>67</v>
      </c>
      <c r="B27" s="12">
        <v>3.0</v>
      </c>
      <c r="C27" s="4">
        <f>IFERROR(__xludf.DUMMYFUNCTION("IFERROR(GOOGLEFINANCE(""NASDAQ:NBIS"", ""price""), 0)"),260.58)</f>
        <v>260.58</v>
      </c>
      <c r="D27" s="6">
        <v>85.0</v>
      </c>
      <c r="E27" s="7">
        <f t="shared" si="1"/>
        <v>-0.6738045898</v>
      </c>
      <c r="F27" s="4" t="str">
        <f t="shared" si="2"/>
        <v>💤 HOLD</v>
      </c>
      <c r="G27" s="4">
        <f>IFERROR(__xludf.DUMMYFUNCTION("IFERROR(GOOGLEFINANCE(""NASDAQ:NBIS"", ""high52""), 0)"),278.84)</f>
        <v>278.84</v>
      </c>
      <c r="H27" s="7">
        <f t="shared" si="3"/>
        <v>-0.06548558313</v>
      </c>
      <c r="I27" s="8" t="str">
        <f t="shared" si="4"/>
        <v/>
      </c>
      <c r="J27" s="8" t="s">
        <v>39</v>
      </c>
      <c r="K27" s="4" t="s">
        <v>66</v>
      </c>
    </row>
    <row r="28" ht="15.75" customHeight="1">
      <c r="A28" s="4" t="s">
        <v>68</v>
      </c>
      <c r="B28" s="12">
        <v>3.0</v>
      </c>
      <c r="C28" s="4">
        <f>IFERROR(__xludf.DUMMYFUNCTION("IFERROR(GOOGLEFINANCE(""NASDAQ:TSLA"", ""price""), 0)"),423.74)</f>
        <v>423.74</v>
      </c>
      <c r="D28" s="6">
        <v>390.0</v>
      </c>
      <c r="E28" s="7">
        <f t="shared" si="1"/>
        <v>-0.07962429792</v>
      </c>
      <c r="F28" s="4" t="str">
        <f t="shared" si="2"/>
        <v>👀 WATCH</v>
      </c>
      <c r="G28" s="4">
        <f>IFERROR(__xludf.DUMMYFUNCTION("IFERROR(GOOGLEFINANCE(""NASDAQ:TSLA"", ""high52""), 0)"),498.82)</f>
        <v>498.82</v>
      </c>
      <c r="H28" s="7">
        <f t="shared" si="3"/>
        <v>-0.1505152159</v>
      </c>
      <c r="I28" s="8" t="str">
        <f t="shared" si="4"/>
        <v/>
      </c>
      <c r="J28" s="11" t="s">
        <v>69</v>
      </c>
      <c r="K28" s="4" t="s">
        <v>70</v>
      </c>
    </row>
    <row r="29" ht="15.75" customHeight="1">
      <c r="A29" s="4" t="s">
        <v>71</v>
      </c>
      <c r="B29" s="12">
        <v>3.0</v>
      </c>
      <c r="C29" s="4">
        <f>IFERROR(__xludf.DUMMYFUNCTION("IFERROR(GOOGLEFINANCE(""NASDAQ:SOFI"", ""price""), 0)"),17.74)</f>
        <v>17.74</v>
      </c>
      <c r="D29" s="6">
        <v>24.0</v>
      </c>
      <c r="E29" s="7">
        <f t="shared" si="1"/>
        <v>0.3528748591</v>
      </c>
      <c r="F29" s="4" t="str">
        <f t="shared" si="2"/>
        <v>🔥 STRONG BUY</v>
      </c>
      <c r="G29" s="4">
        <f>IFERROR(__xludf.DUMMYFUNCTION("IFERROR(GOOGLEFINANCE(""NASDAQ:SOFI"", ""high52""), 0)"),32.73)</f>
        <v>32.73</v>
      </c>
      <c r="H29" s="7">
        <f t="shared" si="3"/>
        <v>-0.457989612</v>
      </c>
      <c r="I29" s="8" t="str">
        <f t="shared" si="4"/>
        <v>🔪 KNIFE</v>
      </c>
      <c r="J29" s="11" t="s">
        <v>69</v>
      </c>
      <c r="K29" s="4" t="s">
        <v>72</v>
      </c>
    </row>
    <row r="30" ht="15.75" customHeight="1">
      <c r="A30" s="4" t="s">
        <v>73</v>
      </c>
      <c r="B30" s="12">
        <v>3.0</v>
      </c>
      <c r="C30" s="4">
        <f>IFERROR(__xludf.DUMMYFUNCTION("IFERROR(GOOGLEFINANCE(""NYSE:SE"", ""price""), 0)"),93.14)</f>
        <v>93.14</v>
      </c>
      <c r="D30" s="6">
        <v>100.0</v>
      </c>
      <c r="E30" s="7">
        <f t="shared" si="1"/>
        <v>0.07365256603</v>
      </c>
      <c r="F30" s="4" t="str">
        <f t="shared" si="2"/>
        <v>🔥 STRONG BUY</v>
      </c>
      <c r="G30" s="4">
        <f>IFERROR(__xludf.DUMMYFUNCTION("IFERROR(GOOGLEFINANCE(""NYSE:SE"", ""high52""), 0)"),199.3)</f>
        <v>199.3</v>
      </c>
      <c r="H30" s="7">
        <f t="shared" si="3"/>
        <v>-0.5326643251</v>
      </c>
      <c r="I30" s="8" t="str">
        <f t="shared" si="4"/>
        <v>🔪 KNIFE</v>
      </c>
      <c r="J30" s="8" t="s">
        <v>39</v>
      </c>
      <c r="K30" s="4" t="s">
        <v>74</v>
      </c>
    </row>
    <row r="31" ht="15.75" customHeight="1">
      <c r="A31" s="4" t="s">
        <v>75</v>
      </c>
      <c r="B31" s="12">
        <v>3.0</v>
      </c>
      <c r="C31" s="4">
        <f>IFERROR(__xludf.DUMMYFUNCTION("IFERROR(GOOGLEFINANCE(""NASDAQ:DDOG"", ""price""), 0)"),269.13)</f>
        <v>269.13</v>
      </c>
      <c r="D31" s="6">
        <v>122.0</v>
      </c>
      <c r="E31" s="7">
        <f t="shared" si="1"/>
        <v>-0.5466874745</v>
      </c>
      <c r="F31" s="4" t="str">
        <f t="shared" si="2"/>
        <v>💤 HOLD</v>
      </c>
      <c r="G31" s="4">
        <f>IFERROR(__xludf.DUMMYFUNCTION("IFERROR(GOOGLEFINANCE(""NASDAQ:DDOG"", ""high52""), 0)"),278.71)</f>
        <v>278.71</v>
      </c>
      <c r="H31" s="7">
        <f t="shared" si="3"/>
        <v>-0.0343726454</v>
      </c>
      <c r="I31" s="8" t="str">
        <f t="shared" si="4"/>
        <v/>
      </c>
      <c r="J31" s="8" t="s">
        <v>39</v>
      </c>
      <c r="K31" s="4" t="s">
        <v>76</v>
      </c>
    </row>
    <row r="32" ht="15.75" customHeight="1">
      <c r="A32" s="4" t="s">
        <v>77</v>
      </c>
      <c r="B32" s="8" t="s">
        <v>78</v>
      </c>
      <c r="C32" s="4" t="s">
        <v>78</v>
      </c>
      <c r="D32" s="13" t="s">
        <v>78</v>
      </c>
      <c r="E32" s="4" t="s">
        <v>78</v>
      </c>
      <c r="F32" s="4" t="s">
        <v>78</v>
      </c>
      <c r="G32" s="4" t="s">
        <v>78</v>
      </c>
      <c r="H32" s="4" t="s">
        <v>78</v>
      </c>
      <c r="I32" s="4" t="s">
        <v>78</v>
      </c>
      <c r="J32" s="14" t="s">
        <v>79</v>
      </c>
      <c r="K32" s="4" t="s">
        <v>80</v>
      </c>
    </row>
    <row r="33" ht="15.75" customHeight="1">
      <c r="A33" s="4" t="s">
        <v>81</v>
      </c>
      <c r="B33" s="8" t="s">
        <v>78</v>
      </c>
      <c r="C33" s="4" t="s">
        <v>78</v>
      </c>
      <c r="D33" s="13" t="s">
        <v>78</v>
      </c>
      <c r="E33" s="4" t="s">
        <v>78</v>
      </c>
      <c r="F33" s="4" t="s">
        <v>78</v>
      </c>
      <c r="G33" s="4" t="s">
        <v>78</v>
      </c>
      <c r="H33" s="4" t="s">
        <v>78</v>
      </c>
      <c r="I33" s="4" t="s">
        <v>78</v>
      </c>
      <c r="J33" s="14" t="s">
        <v>79</v>
      </c>
      <c r="K33" s="4" t="s">
        <v>82</v>
      </c>
    </row>
    <row r="34" ht="15.75" customHeight="1">
      <c r="A34" s="4" t="s">
        <v>83</v>
      </c>
      <c r="B34" s="8" t="s">
        <v>78</v>
      </c>
      <c r="C34" s="4" t="s">
        <v>78</v>
      </c>
      <c r="D34" s="13" t="s">
        <v>78</v>
      </c>
      <c r="E34" s="4" t="s">
        <v>78</v>
      </c>
      <c r="F34" s="4" t="s">
        <v>78</v>
      </c>
      <c r="G34" s="4" t="s">
        <v>78</v>
      </c>
      <c r="H34" s="4" t="s">
        <v>78</v>
      </c>
      <c r="I34" s="4" t="s">
        <v>78</v>
      </c>
      <c r="J34" s="14" t="s">
        <v>84</v>
      </c>
      <c r="K34" s="4" t="s">
        <v>85</v>
      </c>
    </row>
    <row r="35" ht="15.75" customHeight="1">
      <c r="A35" s="4" t="s">
        <v>86</v>
      </c>
      <c r="B35" s="8" t="s">
        <v>78</v>
      </c>
      <c r="C35" s="4" t="s">
        <v>78</v>
      </c>
      <c r="D35" s="13" t="s">
        <v>78</v>
      </c>
      <c r="E35" s="4" t="s">
        <v>78</v>
      </c>
      <c r="F35" s="4" t="s">
        <v>78</v>
      </c>
      <c r="G35" s="4" t="s">
        <v>78</v>
      </c>
      <c r="H35" s="4" t="s">
        <v>78</v>
      </c>
      <c r="I35" s="4" t="s">
        <v>78</v>
      </c>
      <c r="J35" s="14" t="s">
        <v>84</v>
      </c>
      <c r="K35" s="4" t="s">
        <v>87</v>
      </c>
      <c r="L35" s="3" t="s">
        <v>88</v>
      </c>
    </row>
    <row r="36" ht="15.75" customHeight="1"/>
    <row r="37" ht="15.75" customHeight="1"/>
    <row r="38" ht="15.75" customHeight="1">
      <c r="A38" s="3" t="s">
        <v>89</v>
      </c>
    </row>
    <row r="39" ht="15.75" customHeight="1">
      <c r="A39" s="3" t="s">
        <v>90</v>
      </c>
    </row>
    <row r="40" ht="15.75" customHeight="1">
      <c r="A40" s="3" t="s">
        <v>91</v>
      </c>
    </row>
    <row r="41" ht="15.75" customHeight="1">
      <c r="A41" s="3" t="s">
        <v>92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6.0"/>
    <col customWidth="1" min="3" max="3" width="10.0"/>
    <col customWidth="1" min="4" max="5" width="11.0"/>
    <col customWidth="1" min="6" max="6" width="10.0"/>
    <col customWidth="1" min="7" max="8" width="9.0"/>
    <col customWidth="1" min="9" max="9" width="12.0"/>
    <col customWidth="1" min="10" max="10" width="13.0"/>
    <col customWidth="1" min="11" max="11" width="11.0"/>
    <col customWidth="1" min="12" max="12" width="12.0"/>
    <col customWidth="1" min="13" max="13" width="18.0"/>
    <col customWidth="1" min="14" max="26" width="8.71"/>
  </cols>
  <sheetData>
    <row r="1">
      <c r="A1" s="1" t="s">
        <v>93</v>
      </c>
    </row>
    <row r="2">
      <c r="A2" s="15" t="s">
        <v>94</v>
      </c>
    </row>
    <row r="4">
      <c r="A4" s="2" t="s">
        <v>1</v>
      </c>
      <c r="B4" s="2" t="s">
        <v>2</v>
      </c>
      <c r="C4" s="2" t="s">
        <v>95</v>
      </c>
      <c r="D4" s="2" t="s">
        <v>3</v>
      </c>
      <c r="E4" s="16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</row>
    <row r="5">
      <c r="A5" s="4" t="s">
        <v>13</v>
      </c>
      <c r="B5" s="5">
        <v>1.0</v>
      </c>
      <c r="C5" s="6">
        <v>66.0</v>
      </c>
      <c r="D5" s="4">
        <f>IFERROR(__xludf.DUMMYFUNCTION("IFERROR(GOOGLEFINANCE(""NASDAQ:GOOGL"", ""price""), 0)"),361.85)</f>
        <v>361.85</v>
      </c>
      <c r="E5" s="17">
        <f t="shared" ref="E5:E33" si="1">IFERROR(C5*D5, 0)</f>
        <v>23882.1</v>
      </c>
      <c r="F5" s="7">
        <f t="shared" ref="F5:F33" si="2">IFERROR(IF($E$34=0, 0, E5/$E$34), 0)</f>
        <v>0.09886951619</v>
      </c>
      <c r="G5" s="18">
        <v>0.09</v>
      </c>
      <c r="H5" s="19">
        <f t="shared" ref="H5:H33" si="3">IFERROR(G5-F5, 0)</f>
        <v>-0.008869516188</v>
      </c>
      <c r="I5" s="8" t="str">
        <f t="shared" ref="I5:I33" si="4">IF($E$34=0, "-", IF(H5&gt;0.005,"✅ YES","❌ NO"))</f>
        <v>❌ NO</v>
      </c>
      <c r="J5" s="13" t="s">
        <v>105</v>
      </c>
      <c r="K5" s="13" t="s">
        <v>106</v>
      </c>
      <c r="L5" s="8" t="str">
        <f t="shared" ref="L5:L33" si="5">IF($E$34=0, "-", IF(OR(J5="YES",K5="NO",K5="WEAK"),"⛔ SKIP",IF(I5="❌ NO","⛔ FULL",IF(B5=1,"⬆️ HIGH",IF(B5=2,"➡️ MEDIUM","⬇️ LOW")))))</f>
        <v>⛔ FULL</v>
      </c>
      <c r="M5" s="4" t="str">
        <f t="shared" ref="M5:M33" si="6">IF($E$34=0, "Enter shares first", IF(L5="⬆️ HIGH","Add €€€",IF(L5="➡️ MEDIUM","Add €€",IF(L5="⬇️ LOW","Add € (small)",IF(L5="⛔ FULL","Skip - at target","Skip")))))</f>
        <v>Skip - at target</v>
      </c>
    </row>
    <row r="6">
      <c r="A6" s="4" t="s">
        <v>17</v>
      </c>
      <c r="B6" s="5">
        <v>1.0</v>
      </c>
      <c r="C6" s="6">
        <v>11.0</v>
      </c>
      <c r="D6" s="4">
        <f>IFERROR(__xludf.DUMMYFUNCTION("IFERROR(GOOGLEFINANCE(""NASDAQ:MSFT"", ""price""), 0)"),441.31)</f>
        <v>441.31</v>
      </c>
      <c r="E6" s="17">
        <f t="shared" si="1"/>
        <v>4854.41</v>
      </c>
      <c r="F6" s="7">
        <f t="shared" si="2"/>
        <v>0.02009677407</v>
      </c>
      <c r="G6" s="18">
        <v>0.05</v>
      </c>
      <c r="H6" s="19">
        <f t="shared" si="3"/>
        <v>0.02990322593</v>
      </c>
      <c r="I6" s="8" t="str">
        <f t="shared" si="4"/>
        <v>✅ YES</v>
      </c>
      <c r="J6" s="13" t="s">
        <v>105</v>
      </c>
      <c r="K6" s="13" t="s">
        <v>106</v>
      </c>
      <c r="L6" s="8" t="str">
        <f t="shared" si="5"/>
        <v>⬆️ HIGH</v>
      </c>
      <c r="M6" s="4" t="str">
        <f t="shared" si="6"/>
        <v>Add €€€</v>
      </c>
    </row>
    <row r="7">
      <c r="A7" s="4" t="s">
        <v>20</v>
      </c>
      <c r="B7" s="5">
        <v>1.0</v>
      </c>
      <c r="C7" s="6">
        <v>65.0</v>
      </c>
      <c r="D7" s="4">
        <f>IFERROR(__xludf.DUMMYFUNCTION("IFERROR(GOOGLEFINANCE(""NASDAQ:AMZN"", ""price""), 0)"),256.52)</f>
        <v>256.52</v>
      </c>
      <c r="E7" s="17">
        <f t="shared" si="1"/>
        <v>16673.8</v>
      </c>
      <c r="F7" s="7">
        <f t="shared" si="2"/>
        <v>0.06902787188</v>
      </c>
      <c r="G7" s="18">
        <v>0.06</v>
      </c>
      <c r="H7" s="19">
        <f t="shared" si="3"/>
        <v>-0.009027871879</v>
      </c>
      <c r="I7" s="8" t="str">
        <f t="shared" si="4"/>
        <v>❌ NO</v>
      </c>
      <c r="J7" s="13" t="s">
        <v>105</v>
      </c>
      <c r="K7" s="13" t="s">
        <v>106</v>
      </c>
      <c r="L7" s="8" t="str">
        <f t="shared" si="5"/>
        <v>⛔ FULL</v>
      </c>
      <c r="M7" s="4" t="str">
        <f t="shared" si="6"/>
        <v>Skip - at target</v>
      </c>
    </row>
    <row r="8">
      <c r="A8" s="4" t="s">
        <v>23</v>
      </c>
      <c r="B8" s="5">
        <v>1.0</v>
      </c>
      <c r="C8" s="6">
        <v>10.0</v>
      </c>
      <c r="D8" s="4">
        <f>IFERROR(__xludf.DUMMYFUNCTION("IFERROR(GOOGLEFINANCE(""NASDAQ:AAPL"", ""price""), 0)"),315.2)</f>
        <v>315.2</v>
      </c>
      <c r="E8" s="17">
        <f t="shared" si="1"/>
        <v>3152</v>
      </c>
      <c r="F8" s="7">
        <f t="shared" si="2"/>
        <v>0.01304896617</v>
      </c>
      <c r="G8" s="18">
        <v>0.03</v>
      </c>
      <c r="H8" s="19">
        <f t="shared" si="3"/>
        <v>0.01695103383</v>
      </c>
      <c r="I8" s="8" t="str">
        <f t="shared" si="4"/>
        <v>✅ YES</v>
      </c>
      <c r="J8" s="13" t="s">
        <v>105</v>
      </c>
      <c r="K8" s="13" t="s">
        <v>106</v>
      </c>
      <c r="L8" s="8" t="str">
        <f t="shared" si="5"/>
        <v>⬆️ HIGH</v>
      </c>
      <c r="M8" s="4" t="str">
        <f t="shared" si="6"/>
        <v>Add €€€</v>
      </c>
    </row>
    <row r="9">
      <c r="A9" s="4" t="s">
        <v>25</v>
      </c>
      <c r="B9" s="5">
        <v>1.0</v>
      </c>
      <c r="C9" s="6">
        <v>21.0</v>
      </c>
      <c r="D9" s="4">
        <f>IFERROR(__xludf.DUMMYFUNCTION("IFERROR(GOOGLEFINANCE(""NASDAQ:META"", ""price""), 0)"),597.63)</f>
        <v>597.63</v>
      </c>
      <c r="E9" s="17">
        <f t="shared" si="1"/>
        <v>12550.23</v>
      </c>
      <c r="F9" s="7">
        <f t="shared" si="2"/>
        <v>0.05195670264</v>
      </c>
      <c r="G9" s="18">
        <v>0.05</v>
      </c>
      <c r="H9" s="19">
        <f t="shared" si="3"/>
        <v>-0.001956702641</v>
      </c>
      <c r="I9" s="8" t="str">
        <f t="shared" si="4"/>
        <v>❌ NO</v>
      </c>
      <c r="J9" s="13" t="s">
        <v>105</v>
      </c>
      <c r="K9" s="13" t="s">
        <v>106</v>
      </c>
      <c r="L9" s="8" t="str">
        <f t="shared" si="5"/>
        <v>⛔ FULL</v>
      </c>
      <c r="M9" s="4" t="str">
        <f t="shared" si="6"/>
        <v>Skip - at target</v>
      </c>
    </row>
    <row r="10">
      <c r="A10" s="4" t="s">
        <v>27</v>
      </c>
      <c r="B10" s="5">
        <v>1.0</v>
      </c>
      <c r="C10" s="6">
        <v>60.0</v>
      </c>
      <c r="D10" s="4">
        <f>IFERROR(__xludf.DUMMYFUNCTION("IFERROR(GOOGLEFINANCE(""NASDAQ:NVDA"", ""price""), 0)"),222.82)</f>
        <v>222.82</v>
      </c>
      <c r="E10" s="17">
        <f t="shared" si="1"/>
        <v>13369.2</v>
      </c>
      <c r="F10" s="7">
        <f t="shared" si="2"/>
        <v>0.0553471569</v>
      </c>
      <c r="G10" s="18">
        <v>0.05</v>
      </c>
      <c r="H10" s="19">
        <f t="shared" si="3"/>
        <v>-0.005347156901</v>
      </c>
      <c r="I10" s="8" t="str">
        <f t="shared" si="4"/>
        <v>❌ NO</v>
      </c>
      <c r="J10" s="13" t="s">
        <v>105</v>
      </c>
      <c r="K10" s="13" t="s">
        <v>106</v>
      </c>
      <c r="L10" s="8" t="str">
        <f t="shared" si="5"/>
        <v>⛔ FULL</v>
      </c>
      <c r="M10" s="4" t="str">
        <f t="shared" si="6"/>
        <v>Skip - at target</v>
      </c>
    </row>
    <row r="11">
      <c r="A11" s="4" t="s">
        <v>29</v>
      </c>
      <c r="B11" s="5">
        <v>1.0</v>
      </c>
      <c r="C11" s="6">
        <v>16.0</v>
      </c>
      <c r="D11" s="4">
        <f>IFERROR(__xludf.DUMMYFUNCTION("IFERROR(GOOGLEFINANCE(""NASDAQ:AVGO"", ""price""), 0)"),481.57)</f>
        <v>481.57</v>
      </c>
      <c r="E11" s="17">
        <f t="shared" si="1"/>
        <v>7705.12</v>
      </c>
      <c r="F11" s="7">
        <f t="shared" si="2"/>
        <v>0.03189842964</v>
      </c>
      <c r="G11" s="18">
        <v>0.05</v>
      </c>
      <c r="H11" s="19">
        <f t="shared" si="3"/>
        <v>0.01810157036</v>
      </c>
      <c r="I11" s="8" t="str">
        <f t="shared" si="4"/>
        <v>✅ YES</v>
      </c>
      <c r="J11" s="13" t="s">
        <v>105</v>
      </c>
      <c r="K11" s="13" t="s">
        <v>106</v>
      </c>
      <c r="L11" s="8" t="str">
        <f t="shared" si="5"/>
        <v>⬆️ HIGH</v>
      </c>
      <c r="M11" s="4" t="str">
        <f t="shared" si="6"/>
        <v>Add €€€</v>
      </c>
    </row>
    <row r="12">
      <c r="A12" s="4" t="s">
        <v>107</v>
      </c>
      <c r="B12" s="5">
        <v>1.0</v>
      </c>
      <c r="C12" s="6">
        <v>12.0</v>
      </c>
      <c r="D12" s="4">
        <f>IFERROR(__xludf.DUMMYFUNCTION("IFERROR(GOOGLEFINANCE(""NYSE:V"", ""price""), 0)"),317.32)</f>
        <v>317.32</v>
      </c>
      <c r="E12" s="17">
        <f t="shared" si="1"/>
        <v>3807.84</v>
      </c>
      <c r="F12" s="7">
        <f t="shared" si="2"/>
        <v>0.01576407847</v>
      </c>
      <c r="G12" s="18">
        <v>0.03</v>
      </c>
      <c r="H12" s="19">
        <f t="shared" si="3"/>
        <v>0.01423592153</v>
      </c>
      <c r="I12" s="8" t="str">
        <f t="shared" si="4"/>
        <v>✅ YES</v>
      </c>
      <c r="J12" s="13" t="s">
        <v>105</v>
      </c>
      <c r="K12" s="13" t="s">
        <v>106</v>
      </c>
      <c r="L12" s="8" t="str">
        <f t="shared" si="5"/>
        <v>⬆️ HIGH</v>
      </c>
      <c r="M12" s="4" t="str">
        <f t="shared" si="6"/>
        <v>Add €€€</v>
      </c>
    </row>
    <row r="13">
      <c r="A13" s="4" t="s">
        <v>31</v>
      </c>
      <c r="B13" s="5">
        <v>1.0</v>
      </c>
      <c r="C13" s="6">
        <v>19.0</v>
      </c>
      <c r="D13" s="4">
        <f>IFERROR(__xludf.DUMMYFUNCTION("IFERROR(GOOGLEFINANCE(""NYSE:MA"", ""price""), 0)"),477.68)</f>
        <v>477.68</v>
      </c>
      <c r="E13" s="17">
        <f t="shared" si="1"/>
        <v>9075.92</v>
      </c>
      <c r="F13" s="7">
        <f t="shared" si="2"/>
        <v>0.03757340516</v>
      </c>
      <c r="G13" s="18">
        <v>0.03</v>
      </c>
      <c r="H13" s="19">
        <f t="shared" si="3"/>
        <v>-0.007573405159</v>
      </c>
      <c r="I13" s="8" t="str">
        <f t="shared" si="4"/>
        <v>❌ NO</v>
      </c>
      <c r="J13" s="13" t="s">
        <v>105</v>
      </c>
      <c r="K13" s="13" t="s">
        <v>106</v>
      </c>
      <c r="L13" s="8" t="str">
        <f t="shared" si="5"/>
        <v>⛔ FULL</v>
      </c>
      <c r="M13" s="4" t="str">
        <f t="shared" si="6"/>
        <v>Skip - at target</v>
      </c>
    </row>
    <row r="14">
      <c r="A14" s="4" t="s">
        <v>33</v>
      </c>
      <c r="B14" s="10">
        <v>2.0</v>
      </c>
      <c r="C14" s="6">
        <v>33.0</v>
      </c>
      <c r="D14" s="4">
        <f>IFERROR(__xludf.DUMMYFUNCTION("IFERROR(GOOGLEFINANCE(""NASDAQ:CRWD"", ""price""), 0)"),768.95)</f>
        <v>768.95</v>
      </c>
      <c r="E14" s="17">
        <f t="shared" si="1"/>
        <v>25375.35</v>
      </c>
      <c r="F14" s="7">
        <f t="shared" si="2"/>
        <v>0.1050514225</v>
      </c>
      <c r="G14" s="18">
        <v>0.04</v>
      </c>
      <c r="H14" s="19">
        <f t="shared" si="3"/>
        <v>-0.06505142251</v>
      </c>
      <c r="I14" s="8" t="str">
        <f t="shared" si="4"/>
        <v>❌ NO</v>
      </c>
      <c r="J14" s="13" t="s">
        <v>105</v>
      </c>
      <c r="K14" s="13" t="s">
        <v>106</v>
      </c>
      <c r="L14" s="8" t="str">
        <f t="shared" si="5"/>
        <v>⛔ FULL</v>
      </c>
      <c r="M14" s="4" t="str">
        <f t="shared" si="6"/>
        <v>Skip - at target</v>
      </c>
    </row>
    <row r="15">
      <c r="A15" s="4" t="s">
        <v>36</v>
      </c>
      <c r="B15" s="10">
        <v>2.0</v>
      </c>
      <c r="C15" s="6">
        <v>6.0</v>
      </c>
      <c r="D15" s="4">
        <f>IFERROR(__xludf.DUMMYFUNCTION("IFERROR(GOOGLEFINANCE(""NASDAQ:MELI"", ""price""), 0)"),1672.83)</f>
        <v>1672.83</v>
      </c>
      <c r="E15" s="17">
        <f t="shared" si="1"/>
        <v>10036.98</v>
      </c>
      <c r="F15" s="7">
        <f t="shared" si="2"/>
        <v>0.04155209787</v>
      </c>
      <c r="G15" s="18">
        <v>0.04</v>
      </c>
      <c r="H15" s="19">
        <f t="shared" si="3"/>
        <v>-0.001552097872</v>
      </c>
      <c r="I15" s="8" t="str">
        <f t="shared" si="4"/>
        <v>❌ NO</v>
      </c>
      <c r="J15" s="13" t="s">
        <v>105</v>
      </c>
      <c r="K15" s="13" t="s">
        <v>106</v>
      </c>
      <c r="L15" s="8" t="str">
        <f t="shared" si="5"/>
        <v>⛔ FULL</v>
      </c>
      <c r="M15" s="4" t="str">
        <f t="shared" si="6"/>
        <v>Skip - at target</v>
      </c>
    </row>
    <row r="16">
      <c r="A16" s="4" t="s">
        <v>38</v>
      </c>
      <c r="B16" s="10">
        <v>2.0</v>
      </c>
      <c r="C16" s="6">
        <v>77.0</v>
      </c>
      <c r="D16" s="4">
        <f>IFERROR(__xludf.DUMMYFUNCTION("IFERROR(GOOGLEFINANCE(""NYSE:NET"", ""price""), 0)"),272.66)</f>
        <v>272.66</v>
      </c>
      <c r="E16" s="17">
        <f t="shared" si="1"/>
        <v>20994.82</v>
      </c>
      <c r="F16" s="7">
        <f t="shared" si="2"/>
        <v>0.08691646446</v>
      </c>
      <c r="G16" s="18">
        <v>0.03</v>
      </c>
      <c r="H16" s="19">
        <f t="shared" si="3"/>
        <v>-0.05691646446</v>
      </c>
      <c r="I16" s="8" t="str">
        <f t="shared" si="4"/>
        <v>❌ NO</v>
      </c>
      <c r="J16" s="13" t="s">
        <v>105</v>
      </c>
      <c r="K16" s="13" t="s">
        <v>106</v>
      </c>
      <c r="L16" s="8" t="str">
        <f t="shared" si="5"/>
        <v>⛔ FULL</v>
      </c>
      <c r="M16" s="4" t="str">
        <f t="shared" si="6"/>
        <v>Skip - at target</v>
      </c>
    </row>
    <row r="17">
      <c r="A17" s="4" t="s">
        <v>41</v>
      </c>
      <c r="B17" s="10">
        <v>2.0</v>
      </c>
      <c r="C17" s="6">
        <v>35.57</v>
      </c>
      <c r="D17" s="4">
        <f>IFERROR(__xludf.DUMMYFUNCTION("IFERROR(GOOGLEFINANCE(""NYSE:VRT"", ""price""), 0)"),334.49)</f>
        <v>334.49</v>
      </c>
      <c r="E17" s="17">
        <f t="shared" si="1"/>
        <v>11897.8093</v>
      </c>
      <c r="F17" s="7">
        <f t="shared" si="2"/>
        <v>0.0492557459</v>
      </c>
      <c r="G17" s="18">
        <v>0.02</v>
      </c>
      <c r="H17" s="19">
        <f t="shared" si="3"/>
        <v>-0.0292557459</v>
      </c>
      <c r="I17" s="8" t="str">
        <f t="shared" si="4"/>
        <v>❌ NO</v>
      </c>
      <c r="J17" s="13" t="s">
        <v>105</v>
      </c>
      <c r="K17" s="13" t="s">
        <v>106</v>
      </c>
      <c r="L17" s="8" t="str">
        <f t="shared" si="5"/>
        <v>⛔ FULL</v>
      </c>
      <c r="M17" s="4" t="str">
        <f t="shared" si="6"/>
        <v>Skip - at target</v>
      </c>
    </row>
    <row r="18">
      <c r="A18" s="4" t="s">
        <v>43</v>
      </c>
      <c r="B18" s="10">
        <v>2.0</v>
      </c>
      <c r="C18" s="6">
        <v>18.38</v>
      </c>
      <c r="D18" s="4">
        <f>IFERROR(__xludf.DUMMYFUNCTION("IFERROR(GOOGLEFINANCE(""NASDAQ:AMD"", ""price""), 0)"),521.54)</f>
        <v>521.54</v>
      </c>
      <c r="E18" s="17">
        <f t="shared" si="1"/>
        <v>9585.9052</v>
      </c>
      <c r="F18" s="7">
        <f t="shared" si="2"/>
        <v>0.03968469311</v>
      </c>
      <c r="G18" s="18">
        <v>0.03</v>
      </c>
      <c r="H18" s="19">
        <f t="shared" si="3"/>
        <v>-0.009684693111</v>
      </c>
      <c r="I18" s="8" t="str">
        <f t="shared" si="4"/>
        <v>❌ NO</v>
      </c>
      <c r="J18" s="13" t="s">
        <v>105</v>
      </c>
      <c r="K18" s="13" t="s">
        <v>106</v>
      </c>
      <c r="L18" s="8" t="str">
        <f t="shared" si="5"/>
        <v>⛔ FULL</v>
      </c>
      <c r="M18" s="4" t="str">
        <f t="shared" si="6"/>
        <v>Skip - at target</v>
      </c>
    </row>
    <row r="19">
      <c r="A19" s="4" t="s">
        <v>45</v>
      </c>
      <c r="B19" s="10">
        <v>2.0</v>
      </c>
      <c r="C19" s="6">
        <v>255.0</v>
      </c>
      <c r="D19" s="4">
        <f>IFERROR(__xludf.DUMMYFUNCTION("IFERROR(GOOGLEFINANCE(""NYSE:NU"", ""price""), 0)"),11.93)</f>
        <v>11.93</v>
      </c>
      <c r="E19" s="17">
        <f t="shared" si="1"/>
        <v>3042.15</v>
      </c>
      <c r="F19" s="7">
        <f t="shared" si="2"/>
        <v>0.01259419811</v>
      </c>
      <c r="G19" s="18">
        <v>0.03</v>
      </c>
      <c r="H19" s="19">
        <f t="shared" si="3"/>
        <v>0.01740580189</v>
      </c>
      <c r="I19" s="8" t="str">
        <f t="shared" si="4"/>
        <v>✅ YES</v>
      </c>
      <c r="J19" s="13" t="s">
        <v>105</v>
      </c>
      <c r="K19" s="13" t="s">
        <v>106</v>
      </c>
      <c r="L19" s="8" t="str">
        <f t="shared" si="5"/>
        <v>➡️ MEDIUM</v>
      </c>
      <c r="M19" s="4" t="str">
        <f t="shared" si="6"/>
        <v>Add €€</v>
      </c>
    </row>
    <row r="20">
      <c r="A20" s="4" t="s">
        <v>47</v>
      </c>
      <c r="B20" s="10">
        <v>2.0</v>
      </c>
      <c r="C20" s="6">
        <v>53.0</v>
      </c>
      <c r="D20" s="4">
        <f>IFERROR(__xludf.DUMMYFUNCTION("IFERROR(GOOGLEFINANCE(""NYSE:NVO"", ""price""), 0)"),42.92)</f>
        <v>42.92</v>
      </c>
      <c r="E20" s="17">
        <f t="shared" si="1"/>
        <v>2274.76</v>
      </c>
      <c r="F20" s="7">
        <f t="shared" si="2"/>
        <v>0.009417279914</v>
      </c>
      <c r="G20" s="18">
        <v>0.02</v>
      </c>
      <c r="H20" s="19">
        <f t="shared" si="3"/>
        <v>0.01058272009</v>
      </c>
      <c r="I20" s="8" t="str">
        <f t="shared" si="4"/>
        <v>✅ YES</v>
      </c>
      <c r="J20" s="13" t="s">
        <v>105</v>
      </c>
      <c r="K20" s="13" t="s">
        <v>106</v>
      </c>
      <c r="L20" s="8" t="str">
        <f t="shared" si="5"/>
        <v>➡️ MEDIUM</v>
      </c>
      <c r="M20" s="4" t="str">
        <f t="shared" si="6"/>
        <v>Add €€</v>
      </c>
    </row>
    <row r="21" ht="15.75" customHeight="1">
      <c r="A21" s="4" t="s">
        <v>49</v>
      </c>
      <c r="B21" s="10">
        <v>2.0</v>
      </c>
      <c r="C21" s="6">
        <v>4.99</v>
      </c>
      <c r="D21" s="4">
        <f>IFERROR(__xludf.DUMMYFUNCTION("IFERROR(GOOGLEFINANCE(""NASDAQ:AXON"", ""price""), 0)"),490.12)</f>
        <v>490.12</v>
      </c>
      <c r="E21" s="17">
        <f t="shared" si="1"/>
        <v>2445.6988</v>
      </c>
      <c r="F21" s="7">
        <f t="shared" si="2"/>
        <v>0.01012494953</v>
      </c>
      <c r="G21" s="18">
        <v>0.02</v>
      </c>
      <c r="H21" s="19">
        <f t="shared" si="3"/>
        <v>0.009875050473</v>
      </c>
      <c r="I21" s="8" t="str">
        <f t="shared" si="4"/>
        <v>✅ YES</v>
      </c>
      <c r="J21" s="13" t="s">
        <v>105</v>
      </c>
      <c r="K21" s="13" t="s">
        <v>106</v>
      </c>
      <c r="L21" s="8" t="str">
        <f t="shared" si="5"/>
        <v>➡️ MEDIUM</v>
      </c>
      <c r="M21" s="4" t="str">
        <f t="shared" si="6"/>
        <v>Add €€</v>
      </c>
    </row>
    <row r="22" ht="15.75" customHeight="1">
      <c r="A22" s="4" t="s">
        <v>52</v>
      </c>
      <c r="B22" s="10">
        <v>2.0</v>
      </c>
      <c r="C22" s="6">
        <v>30.5</v>
      </c>
      <c r="D22" s="4">
        <f>IFERROR(__xludf.DUMMYFUNCTION("IFERROR(GOOGLEFINANCE(""NYSE:UBER"", ""price""), 0)"),71.62)</f>
        <v>71.62</v>
      </c>
      <c r="E22" s="17">
        <f t="shared" si="1"/>
        <v>2184.41</v>
      </c>
      <c r="F22" s="7">
        <f t="shared" si="2"/>
        <v>0.00904323991</v>
      </c>
      <c r="G22" s="18">
        <v>0.02</v>
      </c>
      <c r="H22" s="19">
        <f t="shared" si="3"/>
        <v>0.01095676009</v>
      </c>
      <c r="I22" s="8" t="str">
        <f t="shared" si="4"/>
        <v>✅ YES</v>
      </c>
      <c r="J22" s="13" t="s">
        <v>105</v>
      </c>
      <c r="K22" s="13" t="s">
        <v>106</v>
      </c>
      <c r="L22" s="8" t="str">
        <f t="shared" si="5"/>
        <v>➡️ MEDIUM</v>
      </c>
      <c r="M22" s="4" t="str">
        <f t="shared" si="6"/>
        <v>Add €€</v>
      </c>
    </row>
    <row r="23" ht="15.75" customHeight="1">
      <c r="A23" s="4" t="s">
        <v>54</v>
      </c>
      <c r="B23" s="10">
        <v>2.0</v>
      </c>
      <c r="C23" s="6">
        <v>49.0</v>
      </c>
      <c r="D23" s="4">
        <f>IFERROR(__xludf.DUMMYFUNCTION("IFERROR(GOOGLEFINANCE(""NASDAQ:SHOP"", ""price""), 0)"),117.01)</f>
        <v>117.01</v>
      </c>
      <c r="E23" s="17">
        <f t="shared" si="1"/>
        <v>5733.49</v>
      </c>
      <c r="F23" s="7">
        <f t="shared" si="2"/>
        <v>0.02373607775</v>
      </c>
      <c r="G23" s="18">
        <v>0.02</v>
      </c>
      <c r="H23" s="19">
        <f t="shared" si="3"/>
        <v>-0.003736077747</v>
      </c>
      <c r="I23" s="8" t="str">
        <f t="shared" si="4"/>
        <v>❌ NO</v>
      </c>
      <c r="J23" s="13" t="s">
        <v>105</v>
      </c>
      <c r="K23" s="13" t="s">
        <v>106</v>
      </c>
      <c r="L23" s="8" t="str">
        <f t="shared" si="5"/>
        <v>⛔ FULL</v>
      </c>
      <c r="M23" s="4" t="str">
        <f t="shared" si="6"/>
        <v>Skip - at target</v>
      </c>
    </row>
    <row r="24" ht="15.75" customHeight="1">
      <c r="A24" s="4" t="s">
        <v>56</v>
      </c>
      <c r="B24" s="10">
        <v>2.0</v>
      </c>
      <c r="C24" s="6">
        <v>28.34</v>
      </c>
      <c r="D24" s="4">
        <f>IFERROR(__xludf.DUMMYFUNCTION("IFERROR(GOOGLEFINANCE(""NYSE:NOW"", ""price""), 0)"),127.65)</f>
        <v>127.65</v>
      </c>
      <c r="E24" s="17">
        <f t="shared" si="1"/>
        <v>3617.601</v>
      </c>
      <c r="F24" s="7">
        <f t="shared" si="2"/>
        <v>0.01497650795</v>
      </c>
      <c r="G24" s="18">
        <v>0.02</v>
      </c>
      <c r="H24" s="19">
        <f t="shared" si="3"/>
        <v>0.005023492045</v>
      </c>
      <c r="I24" s="8" t="str">
        <f t="shared" si="4"/>
        <v>✅ YES</v>
      </c>
      <c r="J24" s="13" t="s">
        <v>105</v>
      </c>
      <c r="K24" s="20" t="s">
        <v>108</v>
      </c>
      <c r="L24" s="8" t="str">
        <f t="shared" si="5"/>
        <v>➡️ MEDIUM</v>
      </c>
      <c r="M24" s="4" t="str">
        <f t="shared" si="6"/>
        <v>Add €€</v>
      </c>
    </row>
    <row r="25" ht="15.75" customHeight="1">
      <c r="A25" s="4" t="s">
        <v>59</v>
      </c>
      <c r="B25" s="12">
        <v>3.0</v>
      </c>
      <c r="C25" s="6">
        <v>25.0</v>
      </c>
      <c r="D25" s="4">
        <f>IFERROR(__xludf.DUMMYFUNCTION("IFERROR(GOOGLEFINANCE(""NASDAQ:PLTR"", ""price""), 0)"),152.17)</f>
        <v>152.17</v>
      </c>
      <c r="E25" s="17">
        <f t="shared" si="1"/>
        <v>3804.25</v>
      </c>
      <c r="F25" s="7">
        <f t="shared" si="2"/>
        <v>0.01574921623</v>
      </c>
      <c r="G25" s="18">
        <v>0.02</v>
      </c>
      <c r="H25" s="19">
        <f t="shared" si="3"/>
        <v>0.004250783769</v>
      </c>
      <c r="I25" s="8" t="str">
        <f t="shared" si="4"/>
        <v>❌ NO</v>
      </c>
      <c r="J25" s="13" t="s">
        <v>105</v>
      </c>
      <c r="K25" s="13" t="s">
        <v>106</v>
      </c>
      <c r="L25" s="8" t="str">
        <f t="shared" si="5"/>
        <v>⛔ FULL</v>
      </c>
      <c r="M25" s="4" t="str">
        <f t="shared" si="6"/>
        <v>Skip - at target</v>
      </c>
    </row>
    <row r="26" ht="15.75" customHeight="1">
      <c r="A26" s="4" t="s">
        <v>61</v>
      </c>
      <c r="B26" s="12">
        <v>3.0</v>
      </c>
      <c r="C26" s="6">
        <v>18.0</v>
      </c>
      <c r="D26" s="4">
        <f>IFERROR(__xludf.DUMMYFUNCTION("IFERROR(GOOGLEFINANCE(""NASDAQ:COIN"", ""price""), 0)"),173.99)</f>
        <v>173.99</v>
      </c>
      <c r="E26" s="17">
        <f t="shared" si="1"/>
        <v>3131.82</v>
      </c>
      <c r="F26" s="7">
        <f t="shared" si="2"/>
        <v>0.01296542298</v>
      </c>
      <c r="G26" s="18">
        <v>0.02</v>
      </c>
      <c r="H26" s="19">
        <f t="shared" si="3"/>
        <v>0.007034577019</v>
      </c>
      <c r="I26" s="8" t="str">
        <f t="shared" si="4"/>
        <v>✅ YES</v>
      </c>
      <c r="J26" s="13" t="s">
        <v>105</v>
      </c>
      <c r="K26" s="13" t="s">
        <v>106</v>
      </c>
      <c r="L26" s="8" t="str">
        <f t="shared" si="5"/>
        <v>⬇️ LOW</v>
      </c>
      <c r="M26" s="4" t="str">
        <f t="shared" si="6"/>
        <v>Add € (small)</v>
      </c>
    </row>
    <row r="27" ht="15.75" customHeight="1">
      <c r="A27" s="4" t="s">
        <v>63</v>
      </c>
      <c r="B27" s="12">
        <v>3.0</v>
      </c>
      <c r="C27" s="6">
        <v>0.0</v>
      </c>
      <c r="D27" s="4">
        <f>IFERROR(__xludf.DUMMYFUNCTION("IFERROR(GOOGLEFINANCE(""NASDAQ:RKLB"", ""price""), 0)"),123.32)</f>
        <v>123.32</v>
      </c>
      <c r="E27" s="17">
        <f t="shared" si="1"/>
        <v>0</v>
      </c>
      <c r="F27" s="7">
        <f t="shared" si="2"/>
        <v>0</v>
      </c>
      <c r="G27" s="18">
        <v>0.02</v>
      </c>
      <c r="H27" s="19">
        <f t="shared" si="3"/>
        <v>0.02</v>
      </c>
      <c r="I27" s="8" t="str">
        <f t="shared" si="4"/>
        <v>✅ YES</v>
      </c>
      <c r="J27" s="13" t="s">
        <v>105</v>
      </c>
      <c r="K27" s="13" t="s">
        <v>106</v>
      </c>
      <c r="L27" s="8" t="str">
        <f t="shared" si="5"/>
        <v>⬇️ LOW</v>
      </c>
      <c r="M27" s="4" t="str">
        <f t="shared" si="6"/>
        <v>Add € (small)</v>
      </c>
    </row>
    <row r="28" ht="15.75" customHeight="1">
      <c r="A28" s="4" t="s">
        <v>65</v>
      </c>
      <c r="B28" s="12">
        <v>3.0</v>
      </c>
      <c r="C28" s="6">
        <v>33.18</v>
      </c>
      <c r="D28" s="4">
        <f>IFERROR(__xludf.DUMMYFUNCTION("IFERROR(GOOGLEFINANCE(""NASDAQ:CRWV"", ""price""), 0)"),119.27)</f>
        <v>119.27</v>
      </c>
      <c r="E28" s="17">
        <f t="shared" si="1"/>
        <v>3957.3786</v>
      </c>
      <c r="F28" s="7">
        <f t="shared" si="2"/>
        <v>0.01638315339</v>
      </c>
      <c r="G28" s="18">
        <v>0.015</v>
      </c>
      <c r="H28" s="19">
        <f t="shared" si="3"/>
        <v>-0.001383153389</v>
      </c>
      <c r="I28" s="8" t="str">
        <f t="shared" si="4"/>
        <v>❌ NO</v>
      </c>
      <c r="J28" s="13" t="s">
        <v>105</v>
      </c>
      <c r="K28" s="13" t="s">
        <v>106</v>
      </c>
      <c r="L28" s="8" t="str">
        <f t="shared" si="5"/>
        <v>⛔ FULL</v>
      </c>
      <c r="M28" s="4" t="str">
        <f t="shared" si="6"/>
        <v>Skip - at target</v>
      </c>
    </row>
    <row r="29" ht="15.75" customHeight="1">
      <c r="A29" s="4" t="s">
        <v>67</v>
      </c>
      <c r="B29" s="12">
        <v>3.0</v>
      </c>
      <c r="C29" s="6">
        <v>31.0</v>
      </c>
      <c r="D29" s="4">
        <f>IFERROR(__xludf.DUMMYFUNCTION("IFERROR(GOOGLEFINANCE(""NASDAQ:NBIS"", ""price""), 0)"),260.58)</f>
        <v>260.58</v>
      </c>
      <c r="E29" s="17">
        <f t="shared" si="1"/>
        <v>8077.98</v>
      </c>
      <c r="F29" s="7">
        <f t="shared" si="2"/>
        <v>0.03344203292</v>
      </c>
      <c r="G29" s="18">
        <v>0.015</v>
      </c>
      <c r="H29" s="19">
        <f t="shared" si="3"/>
        <v>-0.01844203292</v>
      </c>
      <c r="I29" s="8" t="str">
        <f t="shared" si="4"/>
        <v>❌ NO</v>
      </c>
      <c r="J29" s="13" t="s">
        <v>105</v>
      </c>
      <c r="K29" s="13" t="s">
        <v>106</v>
      </c>
      <c r="L29" s="8" t="str">
        <f t="shared" si="5"/>
        <v>⛔ FULL</v>
      </c>
      <c r="M29" s="4" t="str">
        <f t="shared" si="6"/>
        <v>Skip - at target</v>
      </c>
    </row>
    <row r="30" ht="15.75" customHeight="1">
      <c r="A30" s="4" t="s">
        <v>68</v>
      </c>
      <c r="B30" s="12">
        <v>3.0</v>
      </c>
      <c r="C30" s="6">
        <v>27.0</v>
      </c>
      <c r="D30" s="4">
        <f>IFERROR(__xludf.DUMMYFUNCTION("IFERROR(GOOGLEFINANCE(""NASDAQ:TSLA"", ""price""), 0)"),423.74)</f>
        <v>423.74</v>
      </c>
      <c r="E30" s="17">
        <f t="shared" si="1"/>
        <v>11440.98</v>
      </c>
      <c r="F30" s="7">
        <f t="shared" si="2"/>
        <v>0.04736451808</v>
      </c>
      <c r="G30" s="18">
        <v>0.02</v>
      </c>
      <c r="H30" s="19">
        <f t="shared" si="3"/>
        <v>-0.02736451808</v>
      </c>
      <c r="I30" s="8" t="str">
        <f t="shared" si="4"/>
        <v>❌ NO</v>
      </c>
      <c r="J30" s="13" t="s">
        <v>105</v>
      </c>
      <c r="K30" s="13" t="s">
        <v>106</v>
      </c>
      <c r="L30" s="8" t="str">
        <f t="shared" si="5"/>
        <v>⛔ FULL</v>
      </c>
      <c r="M30" s="4" t="str">
        <f t="shared" si="6"/>
        <v>Skip - at target</v>
      </c>
    </row>
    <row r="31" ht="15.75" customHeight="1">
      <c r="A31" s="4" t="s">
        <v>71</v>
      </c>
      <c r="B31" s="12">
        <v>3.0</v>
      </c>
      <c r="C31" s="6">
        <v>601.0</v>
      </c>
      <c r="D31" s="4">
        <f>IFERROR(__xludf.DUMMYFUNCTION("IFERROR(GOOGLEFINANCE(""NASDAQ:SOFI"", ""price""), 0)"),17.74)</f>
        <v>17.74</v>
      </c>
      <c r="E31" s="17">
        <f t="shared" si="1"/>
        <v>10661.74</v>
      </c>
      <c r="F31" s="7">
        <f t="shared" si="2"/>
        <v>0.04413854207</v>
      </c>
      <c r="G31" s="18">
        <v>0.01</v>
      </c>
      <c r="H31" s="19">
        <f t="shared" si="3"/>
        <v>-0.03413854207</v>
      </c>
      <c r="I31" s="8" t="str">
        <f t="shared" si="4"/>
        <v>❌ NO</v>
      </c>
      <c r="J31" s="13" t="s">
        <v>105</v>
      </c>
      <c r="K31" s="20" t="s">
        <v>109</v>
      </c>
      <c r="L31" s="8" t="str">
        <f t="shared" si="5"/>
        <v>⛔ SKIP</v>
      </c>
      <c r="M31" s="4" t="str">
        <f t="shared" si="6"/>
        <v>Skip</v>
      </c>
    </row>
    <row r="32" ht="15.75" customHeight="1">
      <c r="A32" s="4" t="s">
        <v>73</v>
      </c>
      <c r="B32" s="12">
        <v>3.0</v>
      </c>
      <c r="C32" s="6">
        <v>42.0</v>
      </c>
      <c r="D32" s="4">
        <f>IFERROR(__xludf.DUMMYFUNCTION("IFERROR(GOOGLEFINANCE(""NYSE:SE"", ""price""), 0)"),93.14)</f>
        <v>93.14</v>
      </c>
      <c r="E32" s="17">
        <f t="shared" si="1"/>
        <v>3911.88</v>
      </c>
      <c r="F32" s="7">
        <f t="shared" si="2"/>
        <v>0.01619479372</v>
      </c>
      <c r="G32" s="18">
        <v>0.02</v>
      </c>
      <c r="H32" s="19">
        <f t="shared" si="3"/>
        <v>0.003805206285</v>
      </c>
      <c r="I32" s="8" t="str">
        <f t="shared" si="4"/>
        <v>❌ NO</v>
      </c>
      <c r="J32" s="13" t="s">
        <v>105</v>
      </c>
      <c r="K32" s="13" t="s">
        <v>106</v>
      </c>
      <c r="L32" s="8" t="str">
        <f t="shared" si="5"/>
        <v>⛔ FULL</v>
      </c>
      <c r="M32" s="4" t="str">
        <f t="shared" si="6"/>
        <v>Skip - at target</v>
      </c>
    </row>
    <row r="33" ht="15.75" customHeight="1">
      <c r="A33" s="4" t="s">
        <v>75</v>
      </c>
      <c r="B33" s="12">
        <v>3.0</v>
      </c>
      <c r="C33" s="6">
        <v>16.0</v>
      </c>
      <c r="D33" s="4">
        <f>IFERROR(__xludf.DUMMYFUNCTION("IFERROR(GOOGLEFINANCE(""NASDAQ:DDOG"", ""price""), 0)"),269.13)</f>
        <v>269.13</v>
      </c>
      <c r="E33" s="17">
        <f t="shared" si="1"/>
        <v>4306.08</v>
      </c>
      <c r="F33" s="7">
        <f t="shared" si="2"/>
        <v>0.01782674247</v>
      </c>
      <c r="G33" s="18">
        <v>0.01</v>
      </c>
      <c r="H33" s="19">
        <f t="shared" si="3"/>
        <v>-0.007826742467</v>
      </c>
      <c r="I33" s="8" t="str">
        <f t="shared" si="4"/>
        <v>❌ NO</v>
      </c>
      <c r="J33" s="13" t="s">
        <v>105</v>
      </c>
      <c r="K33" s="13" t="s">
        <v>106</v>
      </c>
      <c r="L33" s="8" t="str">
        <f t="shared" si="5"/>
        <v>⛔ FULL</v>
      </c>
      <c r="M33" s="4" t="str">
        <f t="shared" si="6"/>
        <v>Skip - at target</v>
      </c>
    </row>
    <row r="34" ht="15.75" customHeight="1">
      <c r="A34" s="21" t="s">
        <v>110</v>
      </c>
      <c r="E34" s="22">
        <f>IFERROR(SUM(E5:E33), 0)</f>
        <v>241551.7029</v>
      </c>
    </row>
    <row r="35" ht="15.75" customHeight="1">
      <c r="A35" s="15" t="s">
        <v>111</v>
      </c>
      <c r="B35" s="15" t="str">
        <f>IF(E34=0, "⚠️ Enter your shares in Column C to get started", "✅ Ready - check DCA Priority column")</f>
        <v>✅ Ready - check DCA Priority column</v>
      </c>
    </row>
    <row r="36" ht="15.75" customHeight="1"/>
    <row r="37" ht="15.75" customHeight="1">
      <c r="A37" s="21" t="s">
        <v>112</v>
      </c>
    </row>
    <row r="38" ht="15.75" customHeight="1">
      <c r="A38" s="23" t="s">
        <v>113</v>
      </c>
      <c r="B38" s="23" t="s">
        <v>114</v>
      </c>
    </row>
    <row r="39" ht="15.75" customHeight="1">
      <c r="A39" s="23" t="s">
        <v>115</v>
      </c>
      <c r="B39" s="23" t="s">
        <v>116</v>
      </c>
    </row>
    <row r="40" ht="15.75" customHeight="1">
      <c r="A40" s="23" t="s">
        <v>117</v>
      </c>
      <c r="B40" s="23" t="s">
        <v>118</v>
      </c>
    </row>
    <row r="41" ht="15.75" customHeight="1">
      <c r="A41" s="23" t="s">
        <v>119</v>
      </c>
      <c r="B41" s="23" t="s">
        <v>120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B35:F3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30.0"/>
    <col customWidth="1" min="4" max="4" width="20.0"/>
    <col customWidth="1" min="5" max="5" width="35.0"/>
    <col customWidth="1" min="6" max="26" width="8.71"/>
  </cols>
  <sheetData>
    <row r="1">
      <c r="A1" s="1" t="s">
        <v>121</v>
      </c>
    </row>
    <row r="3">
      <c r="A3" s="24" t="s">
        <v>122</v>
      </c>
      <c r="B3" s="25"/>
      <c r="C3" s="25"/>
      <c r="D3" s="25"/>
      <c r="E3" s="26"/>
    </row>
    <row r="4">
      <c r="A4" s="27" t="s">
        <v>1</v>
      </c>
      <c r="B4" s="27" t="s">
        <v>104</v>
      </c>
      <c r="C4" s="27" t="s">
        <v>123</v>
      </c>
      <c r="D4" s="27" t="s">
        <v>124</v>
      </c>
      <c r="E4" s="27" t="s">
        <v>125</v>
      </c>
    </row>
    <row r="5">
      <c r="A5" s="4" t="s">
        <v>77</v>
      </c>
      <c r="B5" s="4" t="s">
        <v>126</v>
      </c>
      <c r="C5" s="4" t="s">
        <v>127</v>
      </c>
      <c r="D5" s="4" t="s">
        <v>128</v>
      </c>
      <c r="E5" s="4" t="s">
        <v>129</v>
      </c>
    </row>
    <row r="6">
      <c r="A6" s="4" t="s">
        <v>81</v>
      </c>
      <c r="B6" s="4" t="s">
        <v>126</v>
      </c>
      <c r="C6" s="4" t="s">
        <v>130</v>
      </c>
      <c r="D6" s="4" t="s">
        <v>131</v>
      </c>
      <c r="E6" s="4" t="s">
        <v>132</v>
      </c>
    </row>
    <row r="9">
      <c r="A9" s="28" t="s">
        <v>133</v>
      </c>
      <c r="B9" s="25"/>
      <c r="C9" s="25"/>
      <c r="D9" s="25"/>
      <c r="E9" s="26"/>
    </row>
    <row r="10">
      <c r="A10" s="27" t="s">
        <v>1</v>
      </c>
      <c r="B10" s="27" t="s">
        <v>104</v>
      </c>
      <c r="C10" s="27" t="s">
        <v>123</v>
      </c>
      <c r="D10" s="27" t="s">
        <v>124</v>
      </c>
      <c r="E10" s="27" t="s">
        <v>125</v>
      </c>
    </row>
    <row r="11">
      <c r="A11" s="4" t="s">
        <v>71</v>
      </c>
      <c r="B11" s="4" t="s">
        <v>134</v>
      </c>
      <c r="C11" s="4" t="s">
        <v>72</v>
      </c>
      <c r="D11" s="4" t="s">
        <v>135</v>
      </c>
      <c r="E11" s="4" t="s">
        <v>132</v>
      </c>
    </row>
    <row r="12">
      <c r="A12" s="4" t="s">
        <v>68</v>
      </c>
      <c r="B12" s="4" t="s">
        <v>136</v>
      </c>
      <c r="C12" s="4" t="s">
        <v>70</v>
      </c>
      <c r="D12" s="4" t="s">
        <v>137</v>
      </c>
      <c r="E12" s="4" t="s">
        <v>138</v>
      </c>
    </row>
    <row r="15">
      <c r="A15" s="29" t="s">
        <v>139</v>
      </c>
      <c r="B15" s="25"/>
      <c r="C15" s="25"/>
      <c r="D15" s="25"/>
      <c r="E15" s="26"/>
    </row>
    <row r="16">
      <c r="A16" s="27" t="s">
        <v>1</v>
      </c>
      <c r="B16" s="27" t="s">
        <v>97</v>
      </c>
      <c r="C16" s="27" t="s">
        <v>98</v>
      </c>
      <c r="D16" s="27" t="s">
        <v>140</v>
      </c>
      <c r="E16" s="27" t="s">
        <v>141</v>
      </c>
    </row>
    <row r="17">
      <c r="A17" s="4" t="s">
        <v>17</v>
      </c>
      <c r="B17" s="4" t="s">
        <v>142</v>
      </c>
      <c r="C17" s="4" t="s">
        <v>143</v>
      </c>
      <c r="D17" s="4" t="s">
        <v>144</v>
      </c>
      <c r="E17" s="4" t="s">
        <v>145</v>
      </c>
    </row>
    <row r="18">
      <c r="A18" s="4" t="s">
        <v>29</v>
      </c>
      <c r="B18" s="4" t="s">
        <v>146</v>
      </c>
      <c r="C18" s="4" t="s">
        <v>143</v>
      </c>
      <c r="D18" s="4" t="s">
        <v>147</v>
      </c>
      <c r="E18" s="4" t="s">
        <v>148</v>
      </c>
    </row>
    <row r="19">
      <c r="A19" s="4" t="s">
        <v>13</v>
      </c>
      <c r="B19" s="4" t="s">
        <v>149</v>
      </c>
      <c r="C19" s="4" t="s">
        <v>150</v>
      </c>
      <c r="D19" s="4" t="s">
        <v>151</v>
      </c>
      <c r="E19" s="4" t="s">
        <v>152</v>
      </c>
    </row>
    <row r="20">
      <c r="A20" s="4" t="s">
        <v>107</v>
      </c>
      <c r="B20" s="4" t="s">
        <v>153</v>
      </c>
      <c r="C20" s="4" t="s">
        <v>154</v>
      </c>
      <c r="D20" s="4" t="s">
        <v>147</v>
      </c>
      <c r="E20" s="4" t="s">
        <v>155</v>
      </c>
    </row>
    <row r="21" ht="15.75" customHeight="1">
      <c r="A21" s="4" t="s">
        <v>23</v>
      </c>
      <c r="B21" s="4" t="s">
        <v>156</v>
      </c>
      <c r="C21" s="4" t="s">
        <v>154</v>
      </c>
      <c r="D21" s="4" t="s">
        <v>157</v>
      </c>
      <c r="E21" s="4" t="s">
        <v>158</v>
      </c>
    </row>
    <row r="22" ht="15.75" customHeight="1">
      <c r="A22" s="4" t="s">
        <v>45</v>
      </c>
      <c r="B22" s="4" t="s">
        <v>142</v>
      </c>
      <c r="C22" s="4" t="s">
        <v>154</v>
      </c>
      <c r="D22" s="4" t="s">
        <v>159</v>
      </c>
      <c r="E22" s="4" t="s">
        <v>160</v>
      </c>
    </row>
    <row r="23" ht="15.75" customHeight="1">
      <c r="A23" s="4" t="s">
        <v>43</v>
      </c>
      <c r="B23" s="4" t="s">
        <v>142</v>
      </c>
      <c r="C23" s="4" t="s">
        <v>154</v>
      </c>
      <c r="D23" s="4" t="s">
        <v>161</v>
      </c>
      <c r="E23" s="4" t="s">
        <v>162</v>
      </c>
    </row>
    <row r="24" ht="15.75" customHeight="1">
      <c r="A24" s="4" t="s">
        <v>49</v>
      </c>
      <c r="B24" s="4" t="s">
        <v>163</v>
      </c>
      <c r="C24" s="4" t="s">
        <v>164</v>
      </c>
      <c r="D24" s="4" t="s">
        <v>165</v>
      </c>
      <c r="E24" s="4" t="s">
        <v>166</v>
      </c>
    </row>
    <row r="25" ht="15.75" customHeight="1"/>
    <row r="26" ht="15.75" customHeight="1"/>
    <row r="27" ht="15.75" customHeight="1">
      <c r="A27" s="28" t="s">
        <v>167</v>
      </c>
      <c r="B27" s="25"/>
      <c r="C27" s="25"/>
      <c r="D27" s="25"/>
      <c r="E27" s="26"/>
    </row>
    <row r="28" ht="15.75" customHeight="1">
      <c r="A28" s="27" t="s">
        <v>1</v>
      </c>
      <c r="B28" s="27" t="s">
        <v>10</v>
      </c>
      <c r="C28" s="27" t="s">
        <v>168</v>
      </c>
      <c r="D28" s="27" t="s">
        <v>169</v>
      </c>
      <c r="E28" s="27"/>
    </row>
    <row r="29" ht="15.75" customHeight="1">
      <c r="A29" s="4" t="s">
        <v>56</v>
      </c>
      <c r="B29" s="4" t="s">
        <v>170</v>
      </c>
      <c r="C29" s="4" t="s">
        <v>171</v>
      </c>
      <c r="D29" s="4" t="s">
        <v>172</v>
      </c>
      <c r="E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9:E9"/>
    <mergeCell ref="A15:E15"/>
    <mergeCell ref="A27:E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0.0"/>
    <col customWidth="1" min="4" max="4" width="25.0"/>
    <col customWidth="1" min="5" max="5" width="10.0"/>
    <col customWidth="1" min="6" max="26" width="8.71"/>
  </cols>
  <sheetData>
    <row r="1">
      <c r="A1" s="1" t="s">
        <v>173</v>
      </c>
    </row>
    <row r="3">
      <c r="A3" s="30" t="s">
        <v>174</v>
      </c>
    </row>
    <row r="4">
      <c r="A4" s="15" t="s">
        <v>175</v>
      </c>
    </row>
    <row r="6">
      <c r="A6" s="29" t="s">
        <v>176</v>
      </c>
      <c r="B6" s="25"/>
      <c r="C6" s="25"/>
      <c r="D6" s="25"/>
      <c r="E6" s="26"/>
    </row>
    <row r="7">
      <c r="A7" s="27" t="s">
        <v>177</v>
      </c>
      <c r="B7" s="27" t="s">
        <v>178</v>
      </c>
      <c r="C7" s="27" t="s">
        <v>179</v>
      </c>
      <c r="D7" s="27" t="s">
        <v>141</v>
      </c>
      <c r="E7" s="27" t="s">
        <v>125</v>
      </c>
    </row>
    <row r="8">
      <c r="A8" s="4" t="s">
        <v>13</v>
      </c>
      <c r="B8" s="4" t="s">
        <v>180</v>
      </c>
      <c r="C8" s="4" t="s">
        <v>151</v>
      </c>
      <c r="D8" s="4" t="s">
        <v>181</v>
      </c>
      <c r="E8" s="4" t="s">
        <v>182</v>
      </c>
    </row>
    <row r="9">
      <c r="A9" s="4" t="s">
        <v>17</v>
      </c>
      <c r="B9" s="4" t="s">
        <v>183</v>
      </c>
      <c r="C9" s="4" t="s">
        <v>144</v>
      </c>
      <c r="D9" s="4" t="s">
        <v>184</v>
      </c>
      <c r="E9" s="4" t="s">
        <v>185</v>
      </c>
    </row>
    <row r="10">
      <c r="A10" s="4" t="s">
        <v>29</v>
      </c>
      <c r="B10" s="4" t="s">
        <v>183</v>
      </c>
      <c r="C10" s="4" t="s">
        <v>147</v>
      </c>
      <c r="D10" s="4" t="s">
        <v>186</v>
      </c>
      <c r="E10" s="4" t="s">
        <v>187</v>
      </c>
    </row>
    <row r="11">
      <c r="A11" s="4" t="s">
        <v>20</v>
      </c>
      <c r="B11" s="4" t="s">
        <v>188</v>
      </c>
      <c r="C11" s="4" t="s">
        <v>189</v>
      </c>
      <c r="D11" s="4" t="s">
        <v>190</v>
      </c>
      <c r="E11" s="4" t="s">
        <v>191</v>
      </c>
    </row>
    <row r="12">
      <c r="A12" s="4" t="s">
        <v>23</v>
      </c>
      <c r="B12" s="4" t="s">
        <v>192</v>
      </c>
      <c r="C12" s="4" t="s">
        <v>157</v>
      </c>
      <c r="D12" s="4" t="s">
        <v>193</v>
      </c>
      <c r="E12" s="4" t="s">
        <v>194</v>
      </c>
    </row>
    <row r="13">
      <c r="A13" s="4" t="s">
        <v>195</v>
      </c>
      <c r="B13" s="4" t="s">
        <v>196</v>
      </c>
      <c r="C13" s="4" t="s">
        <v>78</v>
      </c>
      <c r="D13" s="4" t="s">
        <v>197</v>
      </c>
      <c r="E13" s="4" t="s">
        <v>198</v>
      </c>
    </row>
    <row r="14">
      <c r="A14" s="31" t="s">
        <v>110</v>
      </c>
      <c r="B14" s="31" t="s">
        <v>199</v>
      </c>
      <c r="C14" s="31"/>
      <c r="D14" s="31"/>
      <c r="E14" s="31"/>
    </row>
    <row r="16">
      <c r="A16" s="28" t="s">
        <v>200</v>
      </c>
      <c r="B16" s="25"/>
      <c r="C16" s="25"/>
      <c r="D16" s="25"/>
      <c r="E16" s="26"/>
    </row>
    <row r="17">
      <c r="A17" s="27" t="s">
        <v>177</v>
      </c>
      <c r="B17" s="27" t="s">
        <v>178</v>
      </c>
      <c r="C17" s="27" t="s">
        <v>201</v>
      </c>
      <c r="D17" s="27" t="s">
        <v>11</v>
      </c>
      <c r="E17" s="27"/>
    </row>
    <row r="18">
      <c r="A18" s="4" t="s">
        <v>13</v>
      </c>
      <c r="B18" s="4" t="s">
        <v>192</v>
      </c>
      <c r="C18" s="4" t="s">
        <v>202</v>
      </c>
      <c r="D18" s="4"/>
      <c r="E18" s="4"/>
    </row>
    <row r="19">
      <c r="A19" s="4" t="s">
        <v>17</v>
      </c>
      <c r="B19" s="4" t="s">
        <v>192</v>
      </c>
      <c r="C19" s="4" t="s">
        <v>202</v>
      </c>
      <c r="D19" s="4"/>
      <c r="E19" s="4"/>
    </row>
    <row r="20">
      <c r="A20" s="4" t="s">
        <v>29</v>
      </c>
      <c r="B20" s="4" t="s">
        <v>196</v>
      </c>
      <c r="C20" s="4" t="s">
        <v>202</v>
      </c>
      <c r="D20" s="4"/>
      <c r="E20" s="4"/>
    </row>
    <row r="21" ht="15.75" customHeight="1">
      <c r="A21" s="4" t="s">
        <v>20</v>
      </c>
      <c r="B21" s="4" t="s">
        <v>196</v>
      </c>
      <c r="C21" s="4" t="s">
        <v>202</v>
      </c>
      <c r="D21" s="4"/>
      <c r="E21" s="4"/>
    </row>
    <row r="22" ht="15.75" customHeight="1">
      <c r="A22" s="4" t="s">
        <v>203</v>
      </c>
      <c r="B22" s="4" t="s">
        <v>204</v>
      </c>
      <c r="C22" s="4"/>
      <c r="D22" s="4"/>
      <c r="E22" s="4"/>
    </row>
    <row r="23" ht="15.75" customHeight="1">
      <c r="A23" s="4" t="s">
        <v>39</v>
      </c>
      <c r="B23" s="4" t="s">
        <v>205</v>
      </c>
      <c r="C23" s="4" t="s">
        <v>206</v>
      </c>
      <c r="D23" s="4" t="s">
        <v>207</v>
      </c>
      <c r="E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4:E4"/>
    <mergeCell ref="A6:E6"/>
    <mergeCell ref="A16:E1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6" width="8.71"/>
  </cols>
  <sheetData>
    <row r="1">
      <c r="A1" s="32" t="s">
        <v>208</v>
      </c>
    </row>
    <row r="3">
      <c r="A3" s="32" t="s">
        <v>209</v>
      </c>
    </row>
    <row r="4">
      <c r="A4" s="23" t="s">
        <v>210</v>
      </c>
    </row>
    <row r="5">
      <c r="A5" s="23" t="s">
        <v>211</v>
      </c>
    </row>
    <row r="6">
      <c r="A6" s="23" t="s">
        <v>212</v>
      </c>
    </row>
    <row r="7">
      <c r="A7" s="23" t="s">
        <v>213</v>
      </c>
    </row>
    <row r="9">
      <c r="A9" s="32" t="s">
        <v>214</v>
      </c>
    </row>
    <row r="10">
      <c r="A10" s="23" t="s">
        <v>215</v>
      </c>
    </row>
    <row r="11">
      <c r="A11" s="23" t="s">
        <v>216</v>
      </c>
    </row>
    <row r="12">
      <c r="A12" s="23" t="s">
        <v>217</v>
      </c>
    </row>
    <row r="13">
      <c r="A13" s="23" t="s">
        <v>218</v>
      </c>
    </row>
    <row r="15">
      <c r="A15" s="32" t="s">
        <v>219</v>
      </c>
    </row>
    <row r="16">
      <c r="A16" s="23" t="s">
        <v>220</v>
      </c>
    </row>
    <row r="17">
      <c r="A17" s="23" t="s">
        <v>221</v>
      </c>
    </row>
    <row r="18">
      <c r="A18" s="23" t="s">
        <v>222</v>
      </c>
    </row>
    <row r="19">
      <c r="A19" s="23" t="s">
        <v>223</v>
      </c>
    </row>
    <row r="21" ht="15.75" customHeight="1">
      <c r="A21" s="32" t="s">
        <v>224</v>
      </c>
    </row>
    <row r="22" ht="15.75" customHeight="1">
      <c r="A22" s="23" t="s">
        <v>225</v>
      </c>
    </row>
    <row r="23" ht="15.75" customHeight="1">
      <c r="A23" s="23" t="s">
        <v>226</v>
      </c>
    </row>
    <row r="24" ht="15.75" customHeight="1">
      <c r="A24" s="23" t="s">
        <v>227</v>
      </c>
    </row>
    <row r="25" ht="15.75" customHeight="1"/>
    <row r="26" ht="15.75" customHeight="1">
      <c r="A26" s="32" t="s">
        <v>228</v>
      </c>
    </row>
    <row r="27" ht="15.75" customHeight="1">
      <c r="A27" s="23" t="s">
        <v>229</v>
      </c>
    </row>
    <row r="28" ht="15.75" customHeight="1">
      <c r="A28" s="23" t="s">
        <v>230</v>
      </c>
    </row>
    <row r="29" ht="15.75" customHeight="1">
      <c r="A29" s="23" t="s">
        <v>231</v>
      </c>
    </row>
    <row r="30" ht="15.75" customHeight="1">
      <c r="A30" s="23" t="s">
        <v>232</v>
      </c>
    </row>
    <row r="31" ht="15.75" customHeight="1"/>
    <row r="32" ht="15.75" customHeight="1">
      <c r="A32" s="32" t="s">
        <v>233</v>
      </c>
    </row>
    <row r="33" ht="15.75" customHeight="1">
      <c r="A33" s="23" t="s">
        <v>234</v>
      </c>
    </row>
    <row r="34" ht="15.75" customHeight="1">
      <c r="A34" s="23" t="s">
        <v>235</v>
      </c>
    </row>
    <row r="35" ht="15.75" customHeight="1">
      <c r="A35" s="23" t="s">
        <v>236</v>
      </c>
    </row>
    <row r="36" ht="15.75" customHeight="1"/>
    <row r="37" ht="15.75" customHeight="1">
      <c r="A37" s="32" t="s">
        <v>237</v>
      </c>
    </row>
    <row r="38" ht="15.75" customHeight="1">
      <c r="A38" s="23" t="s">
        <v>238</v>
      </c>
    </row>
    <row r="39" ht="15.75" customHeight="1">
      <c r="A39" s="23" t="s">
        <v>239</v>
      </c>
    </row>
    <row r="40" ht="15.75" customHeight="1">
      <c r="A40" s="23" t="s">
        <v>240</v>
      </c>
    </row>
    <row r="41" ht="15.75" customHeight="1">
      <c r="A41" s="23" t="s">
        <v>241</v>
      </c>
    </row>
    <row r="42" ht="15.75" customHeight="1">
      <c r="A42" s="23" t="s">
        <v>242</v>
      </c>
    </row>
    <row r="43" ht="15.75" customHeight="1">
      <c r="A43" s="23" t="s">
        <v>243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4" width="12.0"/>
    <col customWidth="1" min="5" max="26" width="8.71"/>
  </cols>
  <sheetData>
    <row r="1">
      <c r="A1" s="1" t="s">
        <v>244</v>
      </c>
    </row>
    <row r="3">
      <c r="A3" s="27" t="s">
        <v>2</v>
      </c>
      <c r="B3" s="27" t="s">
        <v>245</v>
      </c>
      <c r="C3" s="27" t="s">
        <v>98</v>
      </c>
      <c r="D3" s="27" t="s">
        <v>246</v>
      </c>
    </row>
    <row r="4">
      <c r="A4" s="4" t="s">
        <v>247</v>
      </c>
      <c r="B4" s="4" t="s">
        <v>248</v>
      </c>
      <c r="C4" s="4" t="s">
        <v>249</v>
      </c>
      <c r="D4" s="4" t="s">
        <v>250</v>
      </c>
    </row>
    <row r="5">
      <c r="A5" s="4" t="s">
        <v>251</v>
      </c>
      <c r="B5" s="4" t="s">
        <v>252</v>
      </c>
      <c r="C5" s="4" t="s">
        <v>253</v>
      </c>
      <c r="D5" s="4" t="s">
        <v>254</v>
      </c>
    </row>
    <row r="6">
      <c r="A6" s="4" t="s">
        <v>255</v>
      </c>
      <c r="B6" s="4" t="s">
        <v>256</v>
      </c>
      <c r="C6" s="4" t="s">
        <v>257</v>
      </c>
      <c r="D6" s="4" t="s">
        <v>250</v>
      </c>
    </row>
    <row r="7">
      <c r="A7" s="31" t="s">
        <v>110</v>
      </c>
      <c r="B7" s="31"/>
      <c r="C7" s="31" t="s">
        <v>258</v>
      </c>
      <c r="D7" s="31" t="s">
        <v>259</v>
      </c>
    </row>
    <row r="10">
      <c r="A10" s="32" t="s">
        <v>260</v>
      </c>
    </row>
    <row r="11">
      <c r="A11" s="27" t="s">
        <v>1</v>
      </c>
      <c r="B11" s="27" t="s">
        <v>2</v>
      </c>
      <c r="C11" s="27" t="s">
        <v>98</v>
      </c>
    </row>
    <row r="12">
      <c r="A12" s="4" t="s">
        <v>13</v>
      </c>
      <c r="B12" s="5">
        <v>1.0</v>
      </c>
      <c r="C12" s="4" t="s">
        <v>150</v>
      </c>
    </row>
    <row r="13">
      <c r="A13" s="4" t="s">
        <v>17</v>
      </c>
      <c r="B13" s="5">
        <v>1.0</v>
      </c>
      <c r="C13" s="4" t="s">
        <v>143</v>
      </c>
    </row>
    <row r="14">
      <c r="A14" s="4" t="s">
        <v>20</v>
      </c>
      <c r="B14" s="5">
        <v>1.0</v>
      </c>
      <c r="C14" s="4" t="s">
        <v>261</v>
      </c>
    </row>
    <row r="15">
      <c r="A15" s="4" t="s">
        <v>23</v>
      </c>
      <c r="B15" s="5">
        <v>1.0</v>
      </c>
      <c r="C15" s="4" t="s">
        <v>154</v>
      </c>
    </row>
    <row r="16">
      <c r="A16" s="4" t="s">
        <v>25</v>
      </c>
      <c r="B16" s="5">
        <v>1.0</v>
      </c>
      <c r="C16" s="4" t="s">
        <v>143</v>
      </c>
    </row>
    <row r="17">
      <c r="A17" s="4" t="s">
        <v>27</v>
      </c>
      <c r="B17" s="5">
        <v>1.0</v>
      </c>
      <c r="C17" s="4" t="s">
        <v>143</v>
      </c>
    </row>
    <row r="18">
      <c r="A18" s="4" t="s">
        <v>29</v>
      </c>
      <c r="B18" s="5">
        <v>1.0</v>
      </c>
      <c r="C18" s="4" t="s">
        <v>143</v>
      </c>
    </row>
    <row r="19">
      <c r="A19" s="4" t="s">
        <v>107</v>
      </c>
      <c r="B19" s="5">
        <v>1.0</v>
      </c>
      <c r="C19" s="4" t="s">
        <v>154</v>
      </c>
    </row>
    <row r="20">
      <c r="A20" s="4" t="s">
        <v>31</v>
      </c>
      <c r="B20" s="5">
        <v>1.0</v>
      </c>
      <c r="C20" s="4" t="s">
        <v>154</v>
      </c>
    </row>
    <row r="21" ht="15.75" customHeight="1">
      <c r="A21" s="4" t="s">
        <v>33</v>
      </c>
      <c r="B21" s="10">
        <v>2.0</v>
      </c>
      <c r="C21" s="4" t="s">
        <v>262</v>
      </c>
    </row>
    <row r="22" ht="15.75" customHeight="1">
      <c r="A22" s="4" t="s">
        <v>36</v>
      </c>
      <c r="B22" s="10">
        <v>2.0</v>
      </c>
      <c r="C22" s="4" t="s">
        <v>262</v>
      </c>
    </row>
    <row r="23" ht="15.75" customHeight="1">
      <c r="A23" s="4" t="s">
        <v>38</v>
      </c>
      <c r="B23" s="10">
        <v>2.0</v>
      </c>
      <c r="C23" s="4" t="s">
        <v>154</v>
      </c>
    </row>
    <row r="24" ht="15.75" customHeight="1">
      <c r="A24" s="4" t="s">
        <v>41</v>
      </c>
      <c r="B24" s="10">
        <v>2.0</v>
      </c>
      <c r="C24" s="4" t="s">
        <v>164</v>
      </c>
    </row>
    <row r="25" ht="15.75" customHeight="1">
      <c r="A25" s="4" t="s">
        <v>43</v>
      </c>
      <c r="B25" s="10">
        <v>2.0</v>
      </c>
      <c r="C25" s="4" t="s">
        <v>154</v>
      </c>
    </row>
    <row r="26" ht="15.75" customHeight="1">
      <c r="A26" s="4" t="s">
        <v>45</v>
      </c>
      <c r="B26" s="10">
        <v>2.0</v>
      </c>
      <c r="C26" s="4" t="s">
        <v>154</v>
      </c>
    </row>
    <row r="27" ht="15.75" customHeight="1">
      <c r="A27" s="4" t="s">
        <v>47</v>
      </c>
      <c r="B27" s="10">
        <v>2.0</v>
      </c>
      <c r="C27" s="4" t="s">
        <v>164</v>
      </c>
    </row>
    <row r="28" ht="15.75" customHeight="1">
      <c r="A28" s="4" t="s">
        <v>49</v>
      </c>
      <c r="B28" s="10">
        <v>2.0</v>
      </c>
      <c r="C28" s="4" t="s">
        <v>164</v>
      </c>
    </row>
    <row r="29" ht="15.75" customHeight="1">
      <c r="A29" s="4" t="s">
        <v>52</v>
      </c>
      <c r="B29" s="10">
        <v>2.0</v>
      </c>
      <c r="C29" s="4" t="s">
        <v>164</v>
      </c>
    </row>
    <row r="30" ht="15.75" customHeight="1">
      <c r="A30" s="4" t="s">
        <v>54</v>
      </c>
      <c r="B30" s="10">
        <v>2.0</v>
      </c>
      <c r="C30" s="4" t="s">
        <v>164</v>
      </c>
    </row>
    <row r="31" ht="15.75" customHeight="1">
      <c r="A31" s="4" t="s">
        <v>56</v>
      </c>
      <c r="B31" s="10">
        <v>2.0</v>
      </c>
      <c r="C31" s="4" t="s">
        <v>164</v>
      </c>
    </row>
    <row r="32" ht="15.75" customHeight="1">
      <c r="A32" s="4" t="s">
        <v>59</v>
      </c>
      <c r="B32" s="12">
        <v>3.0</v>
      </c>
      <c r="C32" s="4" t="s">
        <v>164</v>
      </c>
    </row>
    <row r="33" ht="15.75" customHeight="1">
      <c r="A33" s="4" t="s">
        <v>61</v>
      </c>
      <c r="B33" s="12">
        <v>3.0</v>
      </c>
      <c r="C33" s="4" t="s">
        <v>164</v>
      </c>
    </row>
    <row r="34" ht="15.75" customHeight="1">
      <c r="A34" s="4" t="s">
        <v>63</v>
      </c>
      <c r="B34" s="12">
        <v>3.0</v>
      </c>
      <c r="C34" s="4" t="s">
        <v>164</v>
      </c>
    </row>
    <row r="35" ht="15.75" customHeight="1">
      <c r="A35" s="4" t="s">
        <v>65</v>
      </c>
      <c r="B35" s="12">
        <v>3.0</v>
      </c>
      <c r="C35" s="4" t="s">
        <v>263</v>
      </c>
    </row>
    <row r="36" ht="15.75" customHeight="1">
      <c r="A36" s="4" t="s">
        <v>67</v>
      </c>
      <c r="B36" s="12">
        <v>3.0</v>
      </c>
      <c r="C36" s="4" t="s">
        <v>263</v>
      </c>
    </row>
    <row r="37" ht="15.75" customHeight="1">
      <c r="A37" s="4" t="s">
        <v>68</v>
      </c>
      <c r="B37" s="12">
        <v>3.0</v>
      </c>
      <c r="C37" s="4" t="s">
        <v>164</v>
      </c>
    </row>
    <row r="38" ht="15.75" customHeight="1">
      <c r="A38" s="4" t="s">
        <v>71</v>
      </c>
      <c r="B38" s="12">
        <v>3.0</v>
      </c>
      <c r="C38" s="4" t="s">
        <v>264</v>
      </c>
    </row>
    <row r="39" ht="15.75" customHeight="1">
      <c r="A39" s="4" t="s">
        <v>73</v>
      </c>
      <c r="B39" s="12">
        <v>3.0</v>
      </c>
      <c r="C39" s="4" t="s">
        <v>164</v>
      </c>
    </row>
    <row r="40" ht="15.75" customHeight="1">
      <c r="A40" s="4" t="s">
        <v>75</v>
      </c>
      <c r="B40" s="12">
        <v>3.0</v>
      </c>
      <c r="C40" s="4" t="s">
        <v>264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